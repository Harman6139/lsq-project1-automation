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3c8f54429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a7674267c8747b5"/>
    <x:sheet xmlns:r="http://schemas.openxmlformats.org/officeDocument/2006/relationships" name="Monthly returns" sheetId="2" r:id="R70c23f40768749e5"/>
    <x:sheet xmlns:r="http://schemas.openxmlformats.org/officeDocument/2006/relationships" name="Forecast checks" sheetId="3" r:id="R82f95039a84c491a"/>
    <x:sheet xmlns:r="http://schemas.openxmlformats.org/officeDocument/2006/relationships" name="Sensitivity" sheetId="4" r:id="Re1a7b8c27b55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000"/>
    <x:numFmt numFmtId="202" formatCode="0.00%"/>
    <x:numFmt numFmtId="203" formatCode="0.0"/>
    <x:numFmt numFmtId="204" formatCode="0.000"/>
    <x:numFmt numFmtId="205" formatCode="mmm yyyy"/>
    <x:numFmt numFmtId="206" formatCode="0.0%"/>
  </x:numFmts>
  <x:fonts count="5">
    <x:font>
      <x:sz val="11"/>
      <x:name val="Carlito"/>
    </x:font>
    <x:font>
      <x:sz val="10"/>
      <x:color rgb="FF202A35"/>
      <x:name val="Arial"/>
    </x:font>
    <x:font>
      <x:b/>
      <x:sz val="15"/>
      <x:color rgb="FF202A35"/>
      <x:name val="Arial"/>
    </x:font>
    <x:font>
      <x:b/>
      <x:sz val="10"/>
      <x:color rgb="FFFFFFFF"/>
      <x:name val="Arial"/>
    </x:font>
    <x:font>
      <x:b/>
      <x:sz val="10"/>
      <x:color rgb="FF202A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D6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83c12858e47fe" /><Relationship Type="http://schemas.openxmlformats.org/officeDocument/2006/relationships/theme" Target="/xl/theme/theme1.xml" Id="Rb6a75b8f2c594cfe" /><Relationship Type="http://schemas.microsoft.com/office/2022/11/relationships/FeaturePropertyBag" Target="/xl/featurePropertyBag/featurePropertyBag.xml" Id="Rf3f86cbf54114f1e" /><Relationship Type="http://schemas.openxmlformats.org/officeDocument/2006/relationships/sharedStrings" Target="/xl/sharedStrings.xml" Id="R892e0fe121934ae2" /><Relationship Type="http://schemas.openxmlformats.org/officeDocument/2006/relationships/worksheet" Target="/xl/worksheets/sheet1.xml" Id="R1a7674267c8747b5" /><Relationship Type="http://schemas.openxmlformats.org/officeDocument/2006/relationships/worksheet" Target="/xl/worksheets/sheet2.xml" Id="R70c23f40768749e5" /><Relationship Type="http://schemas.openxmlformats.org/officeDocument/2006/relationships/worksheet" Target="/xl/worksheets/sheet3.xml" Id="R82f95039a84c491a" /><Relationship Type="http://schemas.openxmlformats.org/officeDocument/2006/relationships/worksheet" Target="/xl/worksheets/sheet4.xml" Id="Re1a7b8c27b5542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4D65"/>
  </x:sheetPr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Fund X two regime model review</x:v>
      </x:c>
      <x:c r="B2" s="2"/>
      <x:c r="C2" s="2"/>
      <x:c r="D2" s="2"/>
      <x:c r="E2" s="2"/>
      <x:c r="F2" s="2"/>
      <x:c r="G2" s="2"/>
      <x:c r="H2" s="2"/>
    </x:row>
    <x:row r="3" ht="21" customHeight="1">
      <x:c r="A3" s="2" t="str">
        <x:v>January 2017 to July 2026. Monthly returns. July is estimated.</x:v>
      </x:c>
      <x:c r="B3" s="2"/>
      <x:c r="C3" s="2"/>
      <x:c r="D3" s="2"/>
      <x:c r="E3" s="2"/>
      <x:c r="F3" s="2"/>
      <x:c r="G3" s="2"/>
      <x:c r="H3" s="2"/>
    </x:row>
    <x:row r="4" ht="21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Model</x:v>
      </x:c>
      <x:c r="B5" s="7" t="str">
        <x:v>Parameters</x:v>
      </x:c>
      <x:c r="C5" s="7" t="str">
        <x:v>Log likelihood</x:v>
      </x:c>
      <x:c r="D5" s="7" t="str">
        <x:v>AIC</x:v>
      </x:c>
      <x:c r="E5" s="7" t="str">
        <x:v>BIC</x:v>
      </x:c>
      <x:c r="F5" s="7" t="str">
        <x:v>Observations</x:v>
      </x:c>
      <x:c r="G5" s="2"/>
      <x:c r="H5" s="2"/>
    </x:row>
    <x:row r="6" ht="21" customHeight="1">
      <x:c r="A6" s="2" t="str">
        <x:v>One regime</x:v>
      </x:c>
      <x:c r="B6" s="2" t="n">
        <x:v>2</x:v>
      </x:c>
      <x:c r="C6" s="8" t="n">
        <x:v>217.16935341633157</x:v>
      </x:c>
      <x:c r="D6" s="8" t="n">
        <x:f>-2*C6+2*B6</x:f>
        <x:v>-430.33870683266315</x:v>
      </x:c>
      <x:c r="E6" s="8" t="n">
        <x:f>-2*C6+B6*LN(F6)</x:f>
        <x:v>-424.84884257593666</x:v>
      </x:c>
      <x:c r="F6" s="2" t="n">
        <x:f>COUNT('Monthly returns'!B6:B120)</x:f>
        <x:v>115</x:v>
      </x:c>
      <x:c r="G6" s="2"/>
      <x:c r="H6" s="2"/>
    </x:row>
    <x:row r="7" ht="21" customHeight="1">
      <x:c r="A7" s="2" t="str">
        <x:v>Independent mixture</x:v>
      </x:c>
      <x:c r="B7" s="2" t="n">
        <x:v>5</x:v>
      </x:c>
      <x:c r="C7" s="8" t="n">
        <x:v>256.9105271687789</x:v>
      </x:c>
      <x:c r="D7" s="8" t="n">
        <x:f>-2*C7+2*B7</x:f>
        <x:v>-503.8210543375578</x:v>
      </x:c>
      <x:c r="E7" s="8" t="n">
        <x:f>-2*C7+B7*LN(F7)</x:f>
        <x:v>-490.0963936957416</x:v>
      </x:c>
      <x:c r="F7" s="2" t="n">
        <x:f>COUNT('Monthly returns'!B6:B120)</x:f>
        <x:v>115</x:v>
      </x:c>
      <x:c r="G7" s="2"/>
      <x:c r="H7" s="2"/>
    </x:row>
    <x:row r="8" ht="21" customHeight="1">
      <x:c r="A8" s="2" t="str">
        <x:v>Note rounded stationary</x:v>
      </x:c>
      <x:c r="B8" s="2" t="n">
        <x:v>6</x:v>
      </x:c>
      <x:c r="C8" s="8" t="n">
        <x:v>255.5617518766351</x:v>
      </x:c>
      <x:c r="D8" s="8" t="n">
        <x:f>-2*C8+2*B8</x:f>
        <x:v>-499.1235037532702</x:v>
      </x:c>
      <x:c r="E8" s="8" t="n">
        <x:f>-2*C8+B8*LN(F8)</x:f>
        <x:v>-482.65391098309067</x:v>
      </x:c>
      <x:c r="F8" s="2" t="n">
        <x:f>COUNT('Monthly returns'!B6:B120)</x:f>
        <x:v>115</x:v>
      </x:c>
      <x:c r="G8" s="2"/>
      <x:c r="H8" s="2"/>
    </x:row>
    <x:row r="9" ht="21" customHeight="1">
      <x:c r="A9" s="2" t="str">
        <x:v>Two regimes stationary</x:v>
      </x:c>
      <x:c r="B9" s="2" t="n">
        <x:v>6</x:v>
      </x:c>
      <x:c r="C9" s="8" t="n">
        <x:v>261.1090855760456</x:v>
      </x:c>
      <x:c r="D9" s="8" t="n">
        <x:f>-2*C9+2*B9</x:f>
        <x:v>-510.21817115209114</x:v>
      </x:c>
      <x:c r="E9" s="8" t="n">
        <x:f>-2*C9+B9*LN(F9)</x:f>
        <x:v>-493.74857838191167</x:v>
      </x:c>
      <x:c r="F9" s="2" t="n">
        <x:f>COUNT('Monthly returns'!B6:B120)</x:f>
        <x:v>115</x:v>
      </x:c>
      <x:c r="G9" s="2"/>
      <x:c r="H9" s="2"/>
    </x:row>
    <x:row r="10" ht="21" customHeight="1">
      <x:c r="A10" s="2" t="str">
        <x:v>Two regimes free initial</x:v>
      </x:c>
      <x:c r="B10" s="2" t="n">
        <x:v>7</x:v>
      </x:c>
      <x:c r="C10" s="8" t="n">
        <x:v>261.3893890753071</x:v>
      </x:c>
      <x:c r="D10" s="8" t="n">
        <x:f>-2*C10+2*B10</x:f>
        <x:v>-508.77877815061424</x:v>
      </x:c>
      <x:c r="E10" s="8" t="n">
        <x:f>-2*C10+B10*LN(F10)</x:f>
        <x:v>-489.56425325207147</x:v>
      </x:c>
      <x:c r="F10" s="2" t="n">
        <x:f>COUNT('Monthly returns'!B6:B120)</x:f>
        <x:v>115</x:v>
      </x:c>
      <x:c r="G10" s="2"/>
      <x:c r="H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</x:row>
    <x:row r="12" ht="21" customHeight="1">
      <x:c r="A12" s="2" t="str">
        <x:v>Higher likelihood and lower AIC/BIC indicate a better fit after accounting for model size.</x:v>
      </x:c>
      <x:c r="B12" s="2"/>
      <x:c r="C12" s="2"/>
      <x:c r="D12" s="2"/>
      <x:c r="E12" s="2"/>
      <x:c r="F12" s="2"/>
      <x:c r="G12" s="2"/>
      <x:c r="H12" s="2"/>
    </x:row>
    <x:row r="13" ht="21" customHeight="1">
      <x:c r="A13" s="2" t="str">
        <x:v>Fit parameters are saved Python estimates. Rerun the calculation script to refit after changing data.</x:v>
      </x:c>
      <x:c r="B13" s="2"/>
      <x:c r="C13" s="2"/>
      <x:c r="D13" s="2"/>
      <x:c r="E13" s="2"/>
      <x:c r="F13" s="2"/>
      <x:c r="G13" s="2"/>
      <x:c r="H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</x:row>
    <x:row r="15" ht="21" customHeight="1">
      <x:c r="A15" s="9" t="str">
        <x:v>State estimates and implied monthly returns</x:v>
      </x:c>
      <x:c r="B15" s="2"/>
      <x:c r="C15" s="2"/>
      <x:c r="D15" s="2"/>
      <x:c r="E15" s="2"/>
      <x:c r="F15" s="2"/>
      <x:c r="G15" s="2"/>
      <x:c r="H15" s="2"/>
    </x:row>
    <x:row r="16" ht="30" customHeight="1">
      <x:c r="A16" s="7" t="str">
        <x:v>State</x:v>
      </x:c>
      <x:c r="B16" s="7" t="str">
        <x:v>Log mean</x:v>
      </x:c>
      <x:c r="C16" s="7" t="str">
        <x:v>Log SD</x:v>
      </x:c>
      <x:c r="D16" s="7" t="str">
        <x:v>Stay probability</x:v>
      </x:c>
      <x:c r="E16" s="7" t="str">
        <x:v>Long-run share</x:v>
      </x:c>
      <x:c r="F16" s="7" t="str">
        <x:v>Mean return</x:v>
      </x:c>
      <x:c r="G16" s="7" t="str">
        <x:v>Return SD</x:v>
      </x:c>
      <x:c r="H16" s="7" t="str">
        <x:v>Duration months</x:v>
      </x:c>
    </x:row>
    <x:row r="17" ht="21" customHeight="1">
      <x:c r="A17" s="2" t="str">
        <x:v>Note ordinary</x:v>
      </x:c>
      <x:c r="B17" s="10" t="n">
        <x:v>0.0237</x:v>
      </x:c>
      <x:c r="C17" s="10" t="n">
        <x:v>0.0211</x:v>
      </x:c>
      <x:c r="D17" s="11" t="n">
        <x:v>0.9119</x:v>
      </x:c>
      <x:c r="E17" s="11" t="n">
        <x:f>(1-D18)/(2-D17-D18)</x:f>
        <x:v>0.8424535050071533</x:v>
      </x:c>
      <x:c r="F17" s="11" t="n">
        <x:f>EXP(B17+C17^2/2)-1</x:f>
        <x:v>0.024211046009131598</x:v>
      </x:c>
      <x:c r="G17" s="11" t="n">
        <x:f>SQRT((EXP(C17^2)-1)*EXP(2*B17+C17^2))</x:f>
        <x:v>0.021613258635880983</x:v>
      </x:c>
      <x:c r="H17" s="12" t="n">
        <x:f>1/(1-D17)</x:f>
        <x:v>11.350737797956873</x:v>
      </x:c>
    </x:row>
    <x:row r="18" ht="21" customHeight="1">
      <x:c r="A18" s="2" t="str">
        <x:v>Note high</x:v>
      </x:c>
      <x:c r="B18" s="10" t="n">
        <x:v>0.0895</x:v>
      </x:c>
      <x:c r="C18" s="10" t="n">
        <x:v>0.0606</x:v>
      </x:c>
      <x:c r="D18" s="11" t="n">
        <x:v>0.5289</x:v>
      </x:c>
      <x:c r="E18" s="11" t="n">
        <x:f>1-E17</x:f>
        <x:v>0.15754649499284668</x:v>
      </x:c>
      <x:c r="F18" s="11" t="n">
        <x:f>EXP(B18+C18^2/2)-1</x:f>
        <x:v>0.09563727469159389</x:v>
      </x:c>
      <x:c r="G18" s="11" t="n">
        <x:f>SQRT((EXP(C18^2)-1)*EXP(2*B18+C18^2))</x:f>
        <x:v>0.06645662266251212</x:v>
      </x:c>
      <x:c r="H18" s="12" t="n">
        <x:f>1/(1-D18)</x:f>
        <x:v>2.1226915729144555</x:v>
      </x:c>
    </x:row>
    <x:row r="19" ht="21" customHeight="1">
      <x:c r="A19" s="2" t="str">
        <x:v>Improved lower</x:v>
      </x:c>
      <x:c r="B19" s="10" t="n">
        <x:v>0.015321829213021755</x:v>
      </x:c>
      <x:c r="C19" s="10" t="n">
        <x:v>0.01138751640626077</x:v>
      </x:c>
      <x:c r="D19" s="11" t="n">
        <x:v>0.9271786866213195</x:v>
      </x:c>
      <x:c r="E19" s="11" t="n">
        <x:f>(1-D20)/(2-D19-D20)</x:f>
        <x:v>0.5071421029886971</x:v>
      </x:c>
      <x:c r="F19" s="11" t="n">
        <x:f>EXP(B19+C19^2/2)-1</x:f>
        <x:v>0.015505651211960014</x:v>
      </x:c>
      <x:c r="G19" s="11" t="n">
        <x:f>SQRT((EXP(C19^2)-1)*EXP(2*B19+C19^2))</x:f>
        <x:v>0.011564462168736295</x:v>
      </x:c>
      <x:c r="H19" s="12" t="n">
        <x:f>1/(1-D19)</x:f>
        <x:v>13.732243399674317</x:v>
      </x:c>
    </x:row>
    <x:row r="20" ht="21" customHeight="1">
      <x:c r="A20" s="2" t="str">
        <x:v>Improved higher</x:v>
      </x:c>
      <x:c r="B20" s="10" t="n">
        <x:v>0.0542837212506105</x:v>
      </x:c>
      <x:c r="C20" s="10" t="n">
        <x:v>0.04329947786906484</x:v>
      </x:c>
      <x:c r="D20" s="11" t="n">
        <x:v>0.925068150001833</x:v>
      </x:c>
      <x:c r="E20" s="11" t="n">
        <x:f>1-E19</x:f>
        <x:v>0.4928578970113029</x:v>
      </x:c>
      <x:c r="F20" s="11" t="n">
        <x:f>EXP(B20+C20^2/2)-1</x:f>
        <x:v>0.05677428775215421</x:v>
      </x:c>
      <x:c r="G20" s="11" t="n">
        <x:f>SQRT((EXP(C20^2)-1)*EXP(2*B20+C20^2))</x:f>
        <x:v>0.045779230445979535</x:v>
      </x:c>
      <x:c r="H20" s="12" t="n">
        <x:f>1/(1-D20)</x:f>
        <x:v>13.345459908229433</x:v>
      </x:c>
    </x:row>
    <x:row r="21" ht="21" customHeight="1">
      <x:c r="A21" s="2"/>
      <x:c r="B21" s="2"/>
      <x:c r="C21" s="2"/>
      <x:c r="D21" s="2"/>
      <x:c r="E21" s="2"/>
      <x:c r="F21" s="2"/>
      <x:c r="G21" s="2"/>
      <x:c r="H21" s="2"/>
    </x:row>
    <x:row r="22" ht="21" customHeight="1">
      <x:c r="A22" s="9" t="str">
        <x:v>Tests of timing and remaining dependence</x:v>
      </x:c>
      <x:c r="B22" s="2"/>
      <x:c r="C22" s="2"/>
      <x:c r="D22" s="2"/>
      <x:c r="E22" s="2"/>
      <x:c r="F22" s="2"/>
      <x:c r="G22" s="2"/>
      <x:c r="H22" s="2"/>
    </x:row>
    <x:row r="23" ht="30" customHeight="1">
      <x:c r="A23" s="7" t="str">
        <x:v>Check</x:v>
      </x:c>
      <x:c r="B23" s="7" t="str">
        <x:v>Statistic</x:v>
      </x:c>
      <x:c r="C23" s="7" t="str">
        <x:v>Exceedances</x:v>
      </x:c>
      <x:c r="D23" s="7" t="str">
        <x:v>Simulations</x:v>
      </x:c>
      <x:c r="E23" s="7" t="str">
        <x:v>Monte Carlo p</x:v>
      </x:c>
      <x:c r="F23" s="7" t="str">
        <x:v>Tail</x:v>
      </x:c>
      <x:c r="G23" s="2"/>
      <x:c r="H23" s="2"/>
    </x:row>
    <x:row r="24" ht="21" customHeight="1">
      <x:c r="A24" s="2" t="str">
        <x:v>Ordering gain vs mixture</x:v>
      </x:c>
      <x:c r="B24" s="13" t="n">
        <x:v>4.1985584073016184</x:v>
      </x:c>
      <x:c r="C24" s="2" t="n">
        <x:v>2</x:v>
      </x:c>
      <x:c r="D24" s="2" t="n">
        <x:v>499</x:v>
      </x:c>
      <x:c r="E24" s="13" t="n">
        <x:f>(C24+1)/(D24+1)</x:f>
        <x:v>0.006</x:v>
      </x:c>
      <x:c r="F24" s="2" t="str">
        <x:v>Upper</x:v>
      </x:c>
      <x:c r="G24" s="2"/>
      <x:c r="H24" s="2"/>
    </x:row>
    <x:row r="25" ht="21" customHeight="1">
      <x:c r="A25" s="2" t="str">
        <x:v>Predictive innovation Q12</x:v>
      </x:c>
      <x:c r="B25" s="13" t="n">
        <x:v>19.702724662936877</x:v>
      </x:c>
      <x:c r="C25" s="2" t="n">
        <x:v>15</x:v>
      </x:c>
      <x:c r="D25" s="2" t="n">
        <x:v>199</x:v>
      </x:c>
      <x:c r="E25" s="13" t="n">
        <x:f>(C25+1)/(D25+1)</x:f>
        <x:v>0.08</x:v>
      </x:c>
      <x:c r="F25" s="2" t="str">
        <x:v>Upper</x:v>
      </x:c>
      <x:c r="G25" s="2"/>
      <x:c r="H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</x:row>
    <x:row r="27" ht="21" customHeight="1">
      <x:c r="A27" s="9" t="str">
        <x:v>Data and loss calibration</x:v>
      </x:c>
      <x:c r="B27" s="2"/>
      <x:c r="C27" s="2"/>
      <x:c r="D27" s="2"/>
      <x:c r="E27" s="2"/>
      <x:c r="F27" s="2"/>
      <x:c r="G27" s="2"/>
      <x:c r="H27" s="2"/>
    </x:row>
    <x:row r="28" ht="21" customHeight="1">
      <x:c r="A28" s="2" t="str">
        <x:v>Observed months</x:v>
      </x:c>
      <x:c r="B28" s="2" t="n">
        <x:f>COUNT('Monthly returns'!B6:B120)</x:f>
        <x:v>115</x:v>
      </x:c>
      <x:c r="C28" s="2"/>
      <x:c r="D28" s="2"/>
      <x:c r="E28" s="2"/>
      <x:c r="F28" s="2"/>
      <x:c r="G28" s="2"/>
      <x:c r="H28" s="2"/>
    </x:row>
    <x:row r="29" ht="21" customHeight="1">
      <x:c r="A29" s="2" t="str">
        <x:v>Observed losses</x:v>
      </x:c>
      <x:c r="B29" s="2" t="n">
        <x:f>COUNTIFS('Monthly returns'!B6:B120,"&lt;0")</x:f>
        <x:v>5</x:v>
      </x:c>
      <x:c r="C29" s="2"/>
      <x:c r="D29" s="2"/>
      <x:c r="E29" s="2"/>
      <x:c r="F29" s="2"/>
      <x:c r="G29" s="2"/>
      <x:c r="H29" s="2"/>
    </x:row>
    <x:row r="30" ht="21" customHeight="1">
      <x:c r="A30" s="2" t="str">
        <x:v>Average monthly return</x:v>
      </x:c>
      <x:c r="B30" s="11" t="n">
        <x:f>AVERAGE('Monthly returns'!B6:B120)</x:f>
        <x:v>0.035194782608695664</x:v>
      </x:c>
      <x:c r="C30" s="2"/>
      <x:c r="D30" s="2"/>
      <x:c r="E30" s="2"/>
      <x:c r="F30" s="2"/>
      <x:c r="G30" s="2"/>
      <x:c r="H30" s="2"/>
    </x:row>
    <x:row r="31" ht="21" customHeight="1">
      <x:c r="A31" s="2" t="str">
        <x:v>Monthly sample SD</x:v>
      </x:c>
      <x:c r="B31" s="11" t="n">
        <x:f>STDEV.S('Monthly returns'!B6:B120)</x:f>
        <x:v>0.03983943837120483</x:v>
      </x:c>
      <x:c r="C31" s="2"/>
      <x:c r="D31" s="2"/>
      <x:c r="E31" s="2"/>
      <x:c r="F31" s="2"/>
      <x:c r="G31" s="2"/>
      <x:c r="H31" s="2"/>
    </x:row>
    <x:row r="32" ht="21" customHeight="1">
      <x:c r="A32" s="2" t="str">
        <x:v>Note expected loss months</x:v>
      </x:c>
      <x:c r="B32" s="12" t="n">
        <x:v>13.925290948995789</x:v>
      </x:c>
      <x:c r="C32" s="2"/>
      <x:c r="D32" s="2"/>
      <x:c r="E32" s="2"/>
      <x:c r="F32" s="2"/>
      <x:c r="G32" s="2"/>
      <x:c r="H32" s="2"/>
    </x:row>
    <x:row r="33" ht="21" customHeight="1">
      <x:c r="A33" s="2" t="str">
        <x:v>Improved expected loss months</x:v>
      </x:c>
      <x:c r="B33" s="12" t="n">
        <x:v>11.154256930813528</x:v>
      </x:c>
      <x:c r="C33" s="2"/>
      <x:c r="D33" s="2"/>
      <x:c r="E33" s="2"/>
      <x:c r="F33" s="2"/>
      <x:c r="G33" s="2"/>
      <x:c r="H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</x:row>
    <x:row r="35" ht="21" customHeight="1">
      <x:c r="A35" s="2" t="str">
        <x:v>Ordering p tests exchangeability, not a unique economic cause. Q12 bootstrap refits each sample.</x:v>
      </x:c>
      <x:c r="B35" s="2"/>
      <x:c r="C35" s="2"/>
      <x:c r="D35" s="2"/>
      <x:c r="E35" s="2"/>
      <x:c r="F35" s="2"/>
      <x:c r="G35" s="2"/>
      <x:c r="H35" s="2"/>
    </x:row>
    <x:row r="36" ht="21" customHeight="1">
      <x:c r="A36" s="2" t="str">
        <x:v>Expected loss counts are model implications. They are not formal goodness-of-fit p-values.</x:v>
      </x:c>
      <x:c r="B36" s="2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" t="str">
        <x:v>Later-month forecasts favor the independent mixture for distribution accuracy. See Forecast checks.</x:v>
      </x:c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3" t="str">
        <x:v>Monthly returns and fitted state measures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2" t="str">
        <x:v>Source: July 2026 Spartan LSQ factsheet, saved August 10, 2026. All 115 observations reconciled.</x:v>
      </x:c>
      <x:c r="B3" s="2"/>
      <x:c r="C3" s="2"/>
      <x:c r="D3" s="2"/>
      <x:c r="E3" s="2"/>
      <x:c r="F3" s="2"/>
      <x:c r="G3" s="2"/>
      <x:c r="H3" s="2"/>
      <x:c r="I3" s="2"/>
    </x:row>
    <x:row r="4" ht="21" customHeight="1">
      <x:c r="A4" s="2" t="str">
        <x:v>https://spartanfunds.ca/wp-content/uploads/2021/11/LSQ-Oct21.pdf</x:v>
      </x:c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7" t="str">
        <x:v>Month</x:v>
      </x:c>
      <x:c r="B5" s="7" t="str">
        <x:v>Simple return</x:v>
      </x:c>
      <x:c r="C5" s="7" t="str">
        <x:v>Log return</x:v>
      </x:c>
      <x:c r="D5" s="7" t="str">
        <x:v>High state path</x:v>
      </x:c>
      <x:c r="E5" s="7" t="str">
        <x:v>Filtered high prob</x:v>
      </x:c>
      <x:c r="F5" s="7" t="str">
        <x:v>Predicted high prob</x:v>
      </x:c>
      <x:c r="G5" s="7" t="str">
        <x:v>Note high path</x:v>
      </x:c>
      <x:c r="H5" s="7" t="str">
        <x:v>Predictive innovation</x:v>
      </x:c>
      <x:c r="I5" s="7" t="str">
        <x:v>July estimated</x:v>
      </x:c>
      <x:c r="K5" t="str">
        <x:v>State 1 is the higher-return state.</x:v>
      </x:c>
    </x:row>
    <x:row r="6" ht="21" customHeight="1">
      <x:c r="A6" s="15" t="n">
        <x:v>42736</x:v>
      </x:c>
      <x:c r="B6" s="11" t="n">
        <x:v>0.0214</x:v>
      </x:c>
      <x:c r="C6" s="11" t="n">
        <x:f>LN(1+B6)</x:f>
        <x:v>0.021174235231406567</x:v>
      </x:c>
      <x:c r="D6" s="2" t="n">
        <x:v>1</x:v>
      </x:c>
      <x:c r="E6" s="16" t="n">
        <x:v>0.17880207823133007</x:v>
      </x:c>
      <x:c r="F6" s="16" t="n">
        <x:v>0.49285789701130256</x:v>
      </x:c>
      <x:c r="G6" s="2" t="n">
        <x:v>0</x:v>
      </x:c>
      <x:c r="H6" s="13" t="n">
        <x:v>-0.09368579227461797</x:v>
      </x:c>
      <x:c r="I6" s="14" t="b">
        <x:v>0</x:v>
      </x:c>
      <x:c r="K6" t="str">
        <x:v>Path labels use the full sample.</x:v>
      </x:c>
    </x:row>
    <x:row r="7" ht="21" customHeight="1">
      <x:c r="A7" s="15" t="n">
        <x:v>42767</x:v>
      </x:c>
      <x:c r="B7" s="11" t="n">
        <x:v>0.0395</x:v>
      </x:c>
      <x:c r="C7" s="11" t="n">
        <x:f>LN(1+B7)</x:f>
        <x:v>0.03873982831593065</x:v>
      </x:c>
      <x:c r="D7" s="2" t="n">
        <x:v>1</x:v>
      </x:c>
      <x:c r="E7" s="16" t="n">
        <x:v>0.3725885328760392</x:v>
      </x:c>
      <x:c r="F7" s="16" t="n">
        <x:v>0.22520481893297697</x:v>
      </x:c>
      <x:c r="G7" s="2" t="n">
        <x:v>0</x:v>
      </x:c>
      <x:c r="H7" s="13" t="n">
        <x:v>0.9962272709497272</x:v>
      </x:c>
      <x:c r="I7" s="14" t="b">
        <x:v>0</x:v>
      </x:c>
      <x:c r="K7" t="str">
        <x:v>Filter probabilities use fitted full-sample parameters.</x:v>
      </x:c>
    </x:row>
    <x:row r="8" ht="21" customHeight="1">
      <x:c r="A8" s="15" t="n">
        <x:v>42795</x:v>
      </x:c>
      <x:c r="B8" s="11" t="n">
        <x:v>0.0343</x:v>
      </x:c>
      <x:c r="C8" s="11" t="n">
        <x:f>LN(1+B8)</x:f>
        <x:v>0.033724869401620894</x:v>
      </x:c>
      <x:c r="D8" s="2" t="n">
        <x:v>1</x:v>
      </x:c>
      <x:c r="E8" s="16" t="n">
        <x:v>0.35702399545822094</x:v>
      </x:c>
      <x:c r="F8" s="16" t="n">
        <x:v>0.39035871188434634</x:v>
      </x:c>
      <x:c r="G8" s="2" t="n">
        <x:v>0</x:v>
      </x:c>
      <x:c r="H8" s="13" t="n">
        <x:v>0.5279430344805721</x:v>
      </x:c>
      <x:c r="I8" s="14" t="b">
        <x:v>0</x:v>
      </x:c>
      <x:c r="K8" t="str">
        <x:v>Forecast checks refit using only earlier observations.</x:v>
      </x:c>
    </x:row>
    <x:row r="9" ht="21" customHeight="1">
      <x:c r="A9" s="15" t="n">
        <x:v>42826</x:v>
      </x:c>
      <x:c r="B9" s="11" t="n">
        <x:v>0.0219</x:v>
      </x:c>
      <x:c r="C9" s="11" t="n">
        <x:f>LN(1+B9)</x:f>
        <x:v>0.021663639636026355</x:v>
      </x:c>
      <x:c r="D9" s="2" t="n">
        <x:v>1</x:v>
      </x:c>
      <x:c r="E9" s="16" t="n">
        <x:v>0.12279481922931035</x:v>
      </x:c>
      <x:c r="F9" s="16" t="n">
        <x:v>0.37709388410650807</x:v>
      </x:c>
      <x:c r="G9" s="2" t="n">
        <x:v>0</x:v>
      </x:c>
      <x:c r="H9" s="13" t="n">
        <x:v>0.07047655553599527</x:v>
      </x:c>
      <x:c r="I9" s="14" t="b">
        <x:v>0</x:v>
      </x:c>
    </x:row>
    <x:row r="10" ht="21" customHeight="1">
      <x:c r="A10" s="15" t="n">
        <x:v>42856</x:v>
      </x:c>
      <x:c r="B10" s="11" t="n">
        <x:v>0.0813</x:v>
      </x:c>
      <x:c r="C10" s="11" t="n">
        <x:f>LN(1+B10)</x:f>
        <x:v>0.07816402096935429</x:v>
      </x:c>
      <x:c r="D10" s="2" t="n">
        <x:v>1</x:v>
      </x:c>
      <x:c r="E10" s="16" t="n">
        <x:v>0.9999949983530217</x:v>
      </x:c>
      <x:c r="F10" s="16" t="n">
        <x:v>0.17747280962057208</x:v>
      </x:c>
      <x:c r="G10" s="2" t="n">
        <x:v>0</x:v>
      </x:c>
      <x:c r="H10" s="13" t="n">
        <x:v>1.6297157927628794</x:v>
      </x:c>
      <x:c r="I10" s="14" t="b">
        <x:v>0</x:v>
      </x:c>
    </x:row>
    <x:row r="11" ht="21" customHeight="1">
      <x:c r="A11" s="15" t="n">
        <x:v>42887</x:v>
      </x:c>
      <x:c r="B11" s="11" t="n">
        <x:v>-0.0034999999999999</x:v>
      </x:c>
      <x:c r="C11" s="11" t="n">
        <x:f>LN(1+B11)</x:f>
        <x:v>-0.00350613932928759</x:v>
      </x:c>
      <x:c r="D11" s="2" t="n">
        <x:v>1</x:v>
      </x:c>
      <x:c r="E11" s="16" t="n">
        <x:v>0.8394034301630511</x:v>
      </x:c>
      <x:c r="F11" s="16" t="n">
        <x:v>0.9250638873640179</x:v>
      </x:c>
      <x:c r="G11" s="2" t="n">
        <x:v>0</x:v>
      </x:c>
      <x:c r="H11" s="13" t="n">
        <x:v>-1.3540689437707094</x:v>
      </x:c>
      <x:c r="I11" s="14" t="b">
        <x:v>0</x:v>
      </x:c>
    </x:row>
    <x:row r="12" ht="21" customHeight="1">
      <x:c r="A12" s="15" t="n">
        <x:v>42917</x:v>
      </x:c>
      <x:c r="B12" s="11" t="n">
        <x:v>0.0152</x:v>
      </x:c>
      <x:c r="C12" s="11" t="n">
        <x:f>LN(1+B12)</x:f>
        <x:v>0.015085637418040953</x:v>
      </x:c>
      <x:c r="D12" s="2" t="n">
        <x:v>1</x:v>
      </x:c>
      <x:c r="E12" s="16" t="n">
        <x:v>0.39387288772026396</x:v>
      </x:c>
      <x:c r="F12" s="16" t="n">
        <x:v>0.788200231385764</x:v>
      </x:c>
      <x:c r="G12" s="2" t="n">
        <x:v>0</x:v>
      </x:c>
      <x:c r="H12" s="13" t="n">
        <x:v>-0.6804199987817984</x:v>
      </x:c>
      <x:c r="I12" s="14" t="b">
        <x:v>0</x:v>
      </x:c>
    </x:row>
    <x:row r="13" ht="21" customHeight="1">
      <x:c r="A13" s="15" t="n">
        <x:v>42948</x:v>
      </x:c>
      <x:c r="B13" s="11" t="n">
        <x:v>-0.0126</x:v>
      </x:c>
      <x:c r="C13" s="11" t="n">
        <x:f>LN(1+B13)</x:f>
        <x:v>-0.012680053157374483</x:v>
      </x:c>
      <x:c r="D13" s="2" t="n">
        <x:v>1</x:v>
      </x:c>
      <x:c r="E13" s="16" t="n">
        <x:v>0.5303786824931783</x:v>
      </x:c>
      <x:c r="F13" s="16" t="n">
        <x:v>0.40849823596990154</x:v>
      </x:c>
      <x:c r="G13" s="2" t="n">
        <x:v>0</x:v>
      </x:c>
      <x:c r="H13" s="13" t="n">
        <x:v>-1.895178694611822</x:v>
      </x:c>
      <x:c r="I13" s="14" t="b">
        <x:v>0</x:v>
      </x:c>
    </x:row>
    <x:row r="14" ht="21" customHeight="1">
      <x:c r="A14" s="15" t="n">
        <x:v>42979</x:v>
      </x:c>
      <x:c r="B14" s="11" t="n">
        <x:v>0.0333</x:v>
      </x:c>
      <x:c r="C14" s="11" t="n">
        <x:f>LN(1+B14)</x:f>
        <x:v>0.03275756423817229</x:v>
      </x:c>
      <x:c r="D14" s="2" t="n">
        <x:v>1</x:v>
      </x:c>
      <x:c r="E14" s="16" t="n">
        <x:v>0.4532362003320299</x:v>
      </x:c>
      <x:c r="F14" s="16" t="n">
        <x:v>0.5248348677458471</x:v>
      </x:c>
      <x:c r="G14" s="2" t="n">
        <x:v>0</x:v>
      </x:c>
      <x:c r="H14" s="13" t="n">
        <x:v>0.2734620958045488</x:v>
      </x:c>
      <x:c r="I14" s="14" t="b">
        <x:v>0</x:v>
      </x:c>
    </x:row>
    <x:row r="15" ht="21" customHeight="1">
      <x:c r="A15" s="15" t="n">
        <x:v>43009</x:v>
      </x:c>
      <x:c r="B15" s="11" t="n">
        <x:v>0.0177</x:v>
      </x:c>
      <x:c r="C15" s="11" t="n">
        <x:f>LN(1+B15)</x:f>
        <x:v>0.017545179215748864</x:v>
      </x:c>
      <x:c r="D15" s="2" t="n">
        <x:v>1</x:v>
      </x:c>
      <x:c r="E15" s="16" t="n">
        <x:v>0.13698947111571927</x:v>
      </x:c>
      <x:c r="F15" s="16" t="n">
        <x:v>0.45909043135475036</x:v>
      </x:c>
      <x:c r="G15" s="2" t="n">
        <x:v>0</x:v>
      </x:c>
      <x:c r="H15" s="13" t="n">
        <x:v>-0.24491675030111615</x:v>
      </x:c>
      <x:c r="I15" s="14" t="b">
        <x:v>0</x:v>
      </x:c>
    </x:row>
    <x:row r="16" ht="21" customHeight="1">
      <x:c r="A16" s="15" t="n">
        <x:v>43040</x:v>
      </x:c>
      <x:c r="B16" s="11" t="n">
        <x:v>0.0373</x:v>
      </x:c>
      <x:c r="C16" s="11" t="n">
        <x:f>LN(1+B16)</x:f>
        <x:v>0.03662118345564541</x:v>
      </x:c>
      <x:c r="D16" s="2" t="n">
        <x:v>1</x:v>
      </x:c>
      <x:c r="E16" s="16" t="n">
        <x:v>0.24556555828657464</x:v>
      </x:c>
      <x:c r="F16" s="16" t="n">
        <x:v>0.18957015678773095</x:v>
      </x:c>
      <x:c r="G16" s="2" t="n">
        <x:v>0</x:v>
      </x:c>
      <x:c r="H16" s="13" t="n">
        <x:v>1.037759170731947</x:v>
      </x:c>
      <x:c r="I16" s="14" t="b">
        <x:v>0</x:v>
      </x:c>
    </x:row>
    <x:row r="17" ht="21" customHeight="1">
      <x:c r="A17" s="15" t="n">
        <x:v>43070</x:v>
      </x:c>
      <x:c r="B17" s="11" t="n">
        <x:v>0.0775</x:v>
      </x:c>
      <x:c r="C17" s="11" t="n">
        <x:f>LN(1+B17)</x:f>
        <x:v>0.07464354299576571</x:v>
      </x:c>
      <x:c r="D17" s="2" t="n">
        <x:v>1</x:v>
      </x:c>
      <x:c r="E17" s="16" t="n">
        <x:v>0.9999861680197725</x:v>
      </x:c>
      <x:c r="F17" s="16" t="n">
        <x:v>0.2821037836120121</x:v>
      </x:c>
      <x:c r="G17" s="2" t="n">
        <x:v>0</x:v>
      </x:c>
      <x:c r="H17" s="13" t="n">
        <x:v>1.3406309655866557</x:v>
      </x:c>
      <x:c r="I17" s="14" t="b">
        <x:v>0</x:v>
      </x:c>
    </x:row>
    <x:row r="18" ht="21" customHeight="1">
      <x:c r="A18" s="15" t="n">
        <x:v>43101</x:v>
      </x:c>
      <x:c r="B18" s="11" t="n">
        <x:v>0.052</x:v>
      </x:c>
      <x:c r="C18" s="11" t="n">
        <x:f>LN(1+B18)</x:f>
        <x:v>0.050693114315518165</x:v>
      </x:c>
      <x:c r="D18" s="2" t="n">
        <x:v>1</x:v>
      </x:c>
      <x:c r="E18" s="16" t="n">
        <x:v>0.9975227545671589</x:v>
      </x:c>
      <x:c r="F18" s="16" t="n">
        <x:v>0.9250563617404398</x:v>
      </x:c>
      <x:c r="G18" s="2" t="n">
        <x:v>0</x:v>
      </x:c>
      <x:c r="H18" s="13" t="n">
        <x:v>0.017128300696858265</x:v>
      </x:c>
      <x:c r="I18" s="14" t="b">
        <x:v>0</x:v>
      </x:c>
    </x:row>
    <x:row r="19" ht="21" customHeight="1">
      <x:c r="A19" s="15" t="n">
        <x:v>43132</x:v>
      </x:c>
      <x:c r="B19" s="11" t="n">
        <x:v>0.0428</x:v>
      </x:c>
      <x:c r="C19" s="11" t="n">
        <x:f>LN(1+B19)</x:f>
        <x:v>0.04190940307720956</x:v>
      </x:c>
      <x:c r="D19" s="2" t="n">
        <x:v>1</x:v>
      </x:c>
      <x:c r="E19" s="16" t="n">
        <x:v>0.9788016209882576</x:v>
      </x:c>
      <x:c r="F19" s="16" t="n">
        <x:v>0.922956925418155</x:v>
      </x:c>
      <x:c r="G19" s="2" t="n">
        <x:v>0</x:v>
      </x:c>
      <x:c r="H19" s="13" t="n">
        <x:v>-0.16631234208377244</x:v>
      </x:c>
      <x:c r="I19" s="14" t="b">
        <x:v>0</x:v>
      </x:c>
    </x:row>
    <x:row r="20" ht="21" customHeight="1">
      <x:c r="A20" s="15" t="n">
        <x:v>43160</x:v>
      </x:c>
      <x:c r="B20" s="11" t="n">
        <x:v>0.021</x:v>
      </x:c>
      <x:c r="C20" s="11" t="n">
        <x:f>LN(1+B20)</x:f>
        <x:v>0.02078253918252841</x:v>
      </x:c>
      <x:c r="D20" s="2" t="n">
        <x:v>1</x:v>
      </x:c>
      <x:c r="E20" s="16" t="n">
        <x:v>0.6808339234412975</x:v>
      </x:c>
      <x:c r="F20" s="16" t="n">
        <x:v>0.9070018985475369</x:v>
      </x:c>
      <x:c r="G20" s="2" t="n">
        <x:v>0</x:v>
      </x:c>
      <x:c r="H20" s="13" t="n">
        <x:v>-0.6348445335575474</x:v>
      </x:c>
      <x:c r="I20" s="14" t="b">
        <x:v>0</x:v>
      </x:c>
    </x:row>
    <x:row r="21" ht="21" customHeight="1">
      <x:c r="A21" s="15" t="n">
        <x:v>43191</x:v>
      </x:c>
      <x:c r="B21" s="11" t="n">
        <x:v>0.0246</x:v>
      </x:c>
      <x:c r="C21" s="11" t="n">
        <x:f>LN(1+B21)</x:f>
        <x:v>0.024302292522964817</x:v>
      </x:c>
      <x:c r="D21" s="2" t="n">
        <x:v>1</x:v>
      </x:c>
      <x:c r="E21" s="16" t="n">
        <x:v>0.3470876494716107</x:v>
      </x:c>
      <x:c r="F21" s="16" t="n">
        <x:v>0.6530598708972558</x:v>
      </x:c>
      <x:c r="G21" s="2" t="n">
        <x:v>0</x:v>
      </x:c>
      <x:c r="H21" s="13" t="n">
        <x:v>-0.17164850043356492</x:v>
      </x:c>
      <x:c r="I21" s="14" t="b">
        <x:v>0</x:v>
      </x:c>
    </x:row>
    <x:row r="22" ht="21" customHeight="1">
      <x:c r="A22" s="15" t="n">
        <x:v>43221</x:v>
      </x:c>
      <x:c r="B22" s="11" t="n">
        <x:v>0.0482</x:v>
      </x:c>
      <x:c r="C22" s="11" t="n">
        <x:f>LN(1+B22)</x:f>
        <x:v>0.04707440738592885</x:v>
      </x:c>
      <x:c r="D22" s="2" t="n">
        <x:v>1</x:v>
      </x:c>
      <x:c r="E22" s="16" t="n">
        <x:v>0.8807860514754663</x:v>
      </x:c>
      <x:c r="F22" s="16" t="n">
        <x:v>0.3686256646718263</x:v>
      </x:c>
      <x:c r="G22" s="2" t="n">
        <x:v>0</x:v>
      </x:c>
      <x:c r="H22" s="13" t="n">
        <x:v>0.8051800629292261</x:v>
      </x:c>
      <x:c r="I22" s="14" t="b">
        <x:v>0</x:v>
      </x:c>
    </x:row>
    <x:row r="23" ht="21" customHeight="1">
      <x:c r="A23" s="15" t="n">
        <x:v>43252</x:v>
      </x:c>
      <x:c r="B23" s="11" t="n">
        <x:v>0.0454</x:v>
      </x:c>
      <x:c r="C23" s="11" t="n">
        <x:f>LN(1+B23)</x:f>
        <x:v>0.044399587296684515</x:v>
      </x:c>
      <x:c r="D23" s="2" t="n">
        <x:v>1</x:v>
      </x:c>
      <x:c r="E23" s="16" t="n">
        <x:v>0.9688854222793858</x:v>
      </x:c>
      <x:c r="F23" s="16" t="n">
        <x:v>0.8234684394904438</x:v>
      </x:c>
      <x:c r="G23" s="2" t="n">
        <x:v>0</x:v>
      </x:c>
      <x:c r="H23" s="13" t="n">
        <x:v>0.03253917346098643</x:v>
      </x:c>
      <x:c r="I23" s="14" t="b">
        <x:v>0</x:v>
      </x:c>
    </x:row>
    <x:row r="24" ht="21" customHeight="1">
      <x:c r="A24" s="15" t="n">
        <x:v>43282</x:v>
      </x:c>
      <x:c r="B24" s="11" t="n">
        <x:v>0.0555</x:v>
      </x:c>
      <x:c r="C24" s="11" t="n">
        <x:f>LN(1+B24)</x:f>
        <x:v>0.05401458830623835</x:v>
      </x:c>
      <x:c r="D24" s="2" t="n">
        <x:v>1</x:v>
      </x:c>
      <x:c r="E24" s="16" t="n">
        <x:v>0.9986659250411198</x:v>
      </x:c>
      <x:c r="F24" s="16" t="n">
        <x:v>0.8985508495665743</x:v>
      </x:c>
      <x:c r="G24" s="2" t="n">
        <x:v>0</x:v>
      </x:c>
      <x:c r="H24" s="13" t="n">
        <x:v>0.12177659208354541</x:v>
      </x:c>
      <x:c r="I24" s="14" t="b">
        <x:v>0</x:v>
      </x:c>
    </x:row>
    <x:row r="25" ht="21" customHeight="1">
      <x:c r="A25" s="15" t="n">
        <x:v>43313</x:v>
      </x:c>
      <x:c r="B25" s="11" t="n">
        <x:v>0.0646</x:v>
      </x:c>
      <x:c r="C25" s="11" t="n">
        <x:f>LN(1+B25)</x:f>
        <x:v>0.06259914175651995</x:v>
      </x:c>
      <x:c r="D25" s="2" t="n">
        <x:v>1</x:v>
      </x:c>
      <x:c r="E25" s="16" t="n">
        <x:v>0.9999423553262718</x:v>
      </x:c>
      <x:c r="F25" s="16" t="n">
        <x:v>0.9239311888383092</x:v>
      </x:c>
      <x:c r="G25" s="2" t="n">
        <x:v>1</x:v>
      </x:c>
      <x:c r="H25" s="13" t="n">
        <x:v>0.2751176263258394</x:v>
      </x:c>
      <x:c r="I25" s="14" t="b">
        <x:v>0</x:v>
      </x:c>
    </x:row>
    <x:row r="26" ht="21" customHeight="1">
      <x:c r="A26" s="15" t="n">
        <x:v>43344</x:v>
      </x:c>
      <x:c r="B26" s="11" t="n">
        <x:v>0.1818</x:v>
      </x:c>
      <x:c r="C26" s="11" t="n">
        <x:f>LN(1+B26)</x:f>
        <x:v>0.16703869992943712</x:v>
      </x:c>
      <x:c r="D26" s="2" t="n">
        <x:v>1</x:v>
      </x:c>
      <x:c r="E26" s="16" t="n">
        <x:v>1</x:v>
      </x:c>
      <x:c r="F26" s="16" t="n">
        <x:v>0.925019022511</x:v>
      </x:c>
      <x:c r="G26" s="2" t="n">
        <x:v>1</x:v>
      </x:c>
      <x:c r="H26" s="13" t="n">
        <x:v>2.6306738204922344</x:v>
      </x:c>
      <x:c r="I26" s="14" t="b">
        <x:v>0</x:v>
      </x:c>
    </x:row>
    <x:row r="27" ht="21" customHeight="1">
      <x:c r="A27" s="15" t="n">
        <x:v>43374</x:v>
      </x:c>
      <x:c r="B27" s="11" t="n">
        <x:v>0.0751999999999999</x:v>
      </x:c>
      <x:c r="C27" s="11" t="n">
        <x:f>LN(1+B27)</x:f>
        <x:v>0.07250669078674798</x:v>
      </x:c>
      <x:c r="D27" s="2" t="n">
        <x:v>1</x:v>
      </x:c>
      <x:c r="E27" s="16" t="n">
        <x:v>0.9999988752121712</x:v>
      </x:c>
      <x:c r="F27" s="16" t="n">
        <x:v>0.925068150001833</x:v>
      </x:c>
      <x:c r="G27" s="2" t="n">
        <x:v>1</x:v>
      </x:c>
      <x:c r="H27" s="13" t="n">
        <x:v>0.49108725037145434</x:v>
      </x:c>
      <x:c r="I27" s="14" t="b">
        <x:v>0</x:v>
      </x:c>
    </x:row>
    <x:row r="28" ht="21" customHeight="1">
      <x:c r="A28" s="15" t="n">
        <x:v>43405</x:v>
      </x:c>
      <x:c r="B28" s="11" t="n">
        <x:v>0.0346</x:v>
      </x:c>
      <x:c r="C28" s="11" t="n">
        <x:f>LN(1+B28)</x:f>
        <x:v>0.03401487858727762</x:v>
      </x:c>
      <x:c r="D28" s="2" t="n">
        <x:v>1</x:v>
      </x:c>
      <x:c r="E28" s="16" t="n">
        <x:v>0.917995151283453</x:v>
      </x:c>
      <x:c r="F28" s="16" t="n">
        <x:v>0.925067191404964</x:v>
      </x:c>
      <x:c r="G28" s="2" t="n">
        <x:v>0</x:v>
      </x:c>
      <x:c r="H28" s="13" t="n">
        <x:v>-0.3396858930398816</x:v>
      </x:c>
      <x:c r="I28" s="14" t="b">
        <x:v>0</x:v>
      </x:c>
    </x:row>
    <x:row r="29" ht="21" customHeight="1">
      <x:c r="A29" s="15" t="n">
        <x:v>43435</x:v>
      </x:c>
      <x:c r="B29" s="11" t="n">
        <x:v>0.0753</x:v>
      </x:c>
      <x:c r="C29" s="11" t="n">
        <x:f>LN(1+B29)</x:f>
        <x:v>0.07259969241434348</x:v>
      </x:c>
      <x:c r="D29" s="2" t="n">
        <x:v>1</x:v>
      </x:c>
      <x:c r="E29" s="16" t="n">
        <x:v>0.9999977409966067</x:v>
      </x:c>
      <x:c r="F29" s="16" t="n">
        <x:v>0.8551797770953956</x:v>
      </x:c>
      <x:c r="G29" s="2" t="n">
        <x:v>0</x:v>
      </x:c>
      <x:c r="H29" s="13" t="n">
        <x:v>0.5608069115439779</x:v>
      </x:c>
      <x:c r="I29" s="14" t="b">
        <x:v>0</x:v>
      </x:c>
    </x:row>
    <x:row r="30" ht="21" customHeight="1">
      <x:c r="A30" s="15" t="n">
        <x:v>43466</x:v>
      </x:c>
      <x:c r="B30" s="11" t="n">
        <x:v>0.0249</x:v>
      </x:c>
      <x:c r="C30" s="11" t="n">
        <x:f>LN(1+B30)</x:f>
        <x:v>0.024595046855380134</x:v>
      </x:c>
      <x:c r="D30" s="2" t="n">
        <x:v>0</x:v>
      </x:c>
      <x:c r="E30" s="16" t="n">
        <x:v>0.7814509379984252</x:v>
      </x:c>
      <x:c r="F30" s="16" t="n">
        <x:v>0.9250662247733371</x:v>
      </x:c>
      <x:c r="G30" s="2" t="n">
        <x:v>0</x:v>
      </x:c>
      <x:c r="H30" s="13" t="n">
        <x:v>-0.5611032107897503</x:v>
      </x:c>
      <x:c r="I30" s="14" t="b">
        <x:v>0</x:v>
      </x:c>
    </x:row>
    <x:row r="31" ht="21" customHeight="1">
      <x:c r="A31" s="15" t="n">
        <x:v>43497</x:v>
      </x:c>
      <x:c r="B31" s="11" t="n">
        <x:v>0.0273</x:v>
      </x:c>
      <x:c r="C31" s="11" t="n">
        <x:f>LN(1+B31)</x:f>
        <x:v>0.02693400124008104</x:v>
      </x:c>
      <x:c r="D31" s="2" t="n">
        <x:v>0</x:v>
      </x:c>
      <x:c r="E31" s="16" t="n">
        <x:v>0.5061520971685562</x:v>
      </x:c>
      <x:c r="F31" s="16" t="n">
        <x:v>0.7388104032640337</x:v>
      </x:c>
      <x:c r="G31" s="2" t="n">
        <x:v>0</x:v>
      </x:c>
      <x:c r="H31" s="13" t="n">
        <x:v>-0.21241618698764336</x:v>
      </x:c>
      <x:c r="I31" s="14" t="b">
        <x:v>0</x:v>
      </x:c>
    </x:row>
    <x:row r="32" ht="21" customHeight="1">
      <x:c r="A32" s="15" t="n">
        <x:v>43525</x:v>
      </x:c>
      <x:c r="B32" s="11" t="n">
        <x:v>0.0389</x:v>
      </x:c>
      <x:c r="C32" s="11" t="n">
        <x:f>LN(1+B32)</x:f>
        <x:v>0.03816246109434886</x:v>
      </x:c>
      <x:c r="D32" s="2" t="n">
        <x:v>0</x:v>
      </x:c>
      <x:c r="E32" s="16" t="n">
        <x:v>0.6509813433591572</x:v>
      </x:c>
      <x:c r="F32" s="16" t="n">
        <x:v>0.504187837040757</x:v>
      </x:c>
      <x:c r="G32" s="2" t="n">
        <x:v>0</x:v>
      </x:c>
      <x:c r="H32" s="13" t="n">
        <x:v>0.4222680462245559</x:v>
      </x:c>
      <x:c r="I32" s="14" t="b">
        <x:v>0</x:v>
      </x:c>
    </x:row>
    <x:row r="33" ht="21" customHeight="1">
      <x:c r="A33" s="15" t="n">
        <x:v>43556</x:v>
      </x:c>
      <x:c r="B33" s="11" t="n">
        <x:v>0.0233</x:v>
      </x:c>
      <x:c r="C33" s="11" t="n">
        <x:f>LN(1+B33)</x:f>
        <x:v>0.023032699110572784</x:v>
      </x:c>
      <x:c r="D33" s="2" t="n">
        <x:v>0</x:v>
      </x:c>
      <x:c r="E33" s="16" t="n">
        <x:v>0.3005224480105254</x:v>
      </x:c>
      <x:c r="F33" s="16" t="n">
        <x:v>0.6276181039572125</x:v>
      </x:c>
      <x:c r="G33" s="2" t="n">
        <x:v>0</x:v>
      </x:c>
      <x:c r="H33" s="13" t="n">
        <x:v>-0.18342679162984554</x:v>
      </x:c>
      <x:c r="I33" s="14" t="b">
        <x:v>0</x:v>
      </x:c>
    </x:row>
    <x:row r="34" ht="21" customHeight="1">
      <x:c r="A34" s="15" t="n">
        <x:v>43586</x:v>
      </x:c>
      <x:c r="B34" s="11" t="n">
        <x:v>0.0177</x:v>
      </x:c>
      <x:c r="C34" s="11" t="n">
        <x:f>LN(1+B34)</x:f>
        <x:v>0.017545179215748864</x:v>
      </x:c>
      <x:c r="D34" s="2" t="n">
        <x:v>0</x:v>
      </x:c>
      <x:c r="E34" s="16" t="n">
        <x:v>0.08397701662199876</x:v>
      </x:c>
      <x:c r="F34" s="16" t="n">
        <x:v>0.3289406190298966</x:v>
      </x:c>
      <x:c r="G34" s="2" t="n">
        <x:v>0</x:v>
      </x:c>
      <x:c r="H34" s="13" t="n">
        <x:v>-0.11902466013259376</x:v>
      </x:c>
      <x:c r="I34" s="14" t="b">
        <x:v>0</x:v>
      </x:c>
    </x:row>
    <x:row r="35" ht="21" customHeight="1">
      <x:c r="A35" s="15" t="n">
        <x:v>43617</x:v>
      </x:c>
      <x:c r="B35" s="11" t="n">
        <x:v>0.026</x:v>
      </x:c>
      <x:c r="C35" s="11" t="n">
        <x:f>LN(1+B35)</x:f>
        <x:v>0.025667746748577813</x:v>
      </x:c>
      <x:c r="D35" s="2" t="n">
        <x:v>0</x:v>
      </x:c>
      <x:c r="E35" s="16" t="n">
        <x:v>0.05114527646473359</x:v>
      </x:c>
      <x:c r="F35" s="16" t="n">
        <x:v>0.1443904601438288</x:v>
      </x:c>
      <x:c r="G35" s="2" t="n">
        <x:v>0</x:v>
      </x:c>
      <x:c r="H35" s="13" t="n">
        <x:v>0.6334666266479992</x:v>
      </x:c>
      <x:c r="I35" s="14" t="b">
        <x:v>0</x:v>
      </x:c>
    </x:row>
    <x:row r="36" ht="21" customHeight="1">
      <x:c r="A36" s="15" t="n">
        <x:v>43647</x:v>
      </x:c>
      <x:c r="B36" s="11" t="n">
        <x:v>0.0073</x:v>
      </x:c>
      <x:c r="C36" s="11" t="n">
        <x:f>LN(1+B36)</x:f>
        <x:v>0.00727348396649847</x:v>
      </x:c>
      <x:c r="D36" s="2" t="n">
        <x:v>0</x:v>
      </x:c>
      <x:c r="E36" s="16" t="n">
        <x:v>0.024077364336215008</x:v>
      </x:c>
      <x:c r="F36" s="16" t="n">
        <x:v>0.11640971345396625</x:v>
      </x:c>
      <x:c r="G36" s="2" t="n">
        <x:v>0</x:v>
      </x:c>
      <x:c r="H36" s="13" t="n">
        <x:v>-0.7451455033314034</x:v>
      </x:c>
      <x:c r="I36" s="14" t="b">
        <x:v>0</x:v>
      </x:c>
    </x:row>
    <x:row r="37" ht="21" customHeight="1">
      <x:c r="A37" s="15" t="n">
        <x:v>43678</x:v>
      </x:c>
      <x:c r="B37" s="11" t="n">
        <x:v>0.0239</x:v>
      </x:c>
      <x:c r="C37" s="11" t="n">
        <x:f>LN(1+B37)</x:f>
        <x:v>0.023618865598634027</x:v>
      </x:c>
      <x:c r="D37" s="2" t="n">
        <x:v>0</x:v>
      </x:c>
      <x:c r="E37" s="16" t="n">
        <x:v>0.026740557260871947</x:v>
      </x:c>
      <x:c r="F37" s="16" t="n">
        <x:v>0.09334117096844281</x:v>
      </x:c>
      <x:c r="G37" s="2" t="n">
        <x:v>0</x:v>
      </x:c>
      <x:c r="H37" s="13" t="n">
        <x:v>0.5758585990935255</x:v>
      </x:c>
      <x:c r="I37" s="14" t="b">
        <x:v>0</x:v>
      </x:c>
    </x:row>
    <x:row r="38" ht="21" customHeight="1">
      <x:c r="A38" s="15" t="n">
        <x:v>43709</x:v>
      </x:c>
      <x:c r="B38" s="11" t="n">
        <x:v>0.0347</x:v>
      </x:c>
      <x:c r="C38" s="11" t="n">
        <x:f>LN(1+B38)</x:f>
        <x:v>0.03411152962876782</x:v>
      </x:c>
      <x:c r="D38" s="2" t="n">
        <x:v>0</x:v>
      </x:c>
      <x:c r="E38" s="16" t="n">
        <x:v>0.08868295645969011</x:v>
      </x:c>
      <x:c r="F38" s="16" t="n">
        <x:v>0.09561086871379885</x:v>
      </x:c>
      <x:c r="G38" s="2" t="n">
        <x:v>0</x:v>
      </x:c>
      <x:c r="H38" s="13" t="n">
        <x:v>1.2281673400481061</x:v>
      </x:c>
      <x:c r="I38" s="14" t="b">
        <x:v>0</x:v>
      </x:c>
    </x:row>
    <x:row r="39" ht="21" customHeight="1">
      <x:c r="A39" s="15" t="n">
        <x:v>43739</x:v>
      </x:c>
      <x:c r="B39" s="11" t="n">
        <x:v>0.0139999999999999</x:v>
      </x:c>
      <x:c r="C39" s="11" t="n">
        <x:f>LN(1+B39)</x:f>
        <x:v>0.013902905168991214</x:v>
      </x:c>
      <x:c r="D39" s="2" t="n">
        <x:v>0</x:v>
      </x:c>
      <x:c r="E39" s="16" t="n">
        <x:v>0.02903122565370856</x:v>
      </x:c>
      <x:c r="F39" s="16" t="n">
        <x:v>0.14840108248384015</x:v>
      </x:c>
      <x:c r="G39" s="2" t="n">
        <x:v>0</x:v>
      </x:c>
      <x:c r="H39" s="13" t="n">
        <x:v>-0.22851559658168083</x:v>
      </x:c>
      <x:c r="I39" s="14" t="b">
        <x:v>0</x:v>
      </x:c>
    </x:row>
    <x:row r="40" ht="21" customHeight="1">
      <x:c r="A40" s="15" t="n">
        <x:v>43770</x:v>
      </x:c>
      <x:c r="B40" s="11" t="n">
        <x:v>0.011</x:v>
      </x:c>
      <x:c r="C40" s="11" t="n">
        <x:f>LN(1+B40)</x:f>
        <x:v>0.010939940038334263</x:v>
      </x:c>
      <x:c r="D40" s="2" t="n">
        <x:v>0</x:v>
      </x:c>
      <x:c r="E40" s="16" t="n">
        <x:v>0.018213485821500234</x:v>
      </x:c>
      <x:c r="F40" s="16" t="n">
        <x:v>0.0975630836053465</x:v>
      </x:c>
      <x:c r="G40" s="2" t="n">
        <x:v>0</x:v>
      </x:c>
      <x:c r="H40" s="13" t="n">
        <x:v>-0.4358233229306388</x:v>
      </x:c>
      <x:c r="I40" s="14" t="b">
        <x:v>0</x:v>
      </x:c>
    </x:row>
    <x:row r="41" ht="21" customHeight="1">
      <x:c r="A41" s="15" t="n">
        <x:v>43800</x:v>
      </x:c>
      <x:c r="B41" s="11" t="n">
        <x:v>0.0308</x:v>
      </x:c>
      <x:c r="C41" s="11" t="n">
        <x:f>LN(1+B41)</x:f>
        <x:v>0.030335199796072885</x:v>
      </x:c>
      <x:c r="D41" s="2" t="n">
        <x:v>0</x:v>
      </x:c>
      <x:c r="E41" s="16" t="n">
        <x:v>0.04957096444001487</x:v>
      </x:c>
      <x:c r="F41" s="16" t="n">
        <x:v>0.08834369905393469</x:v>
      </x:c>
      <x:c r="G41" s="2" t="n">
        <x:v>0</x:v>
      </x:c>
      <x:c r="H41" s="13" t="n">
        <x:v>1.0445192036116706</x:v>
      </x:c>
      <x:c r="I41" s="14" t="b">
        <x:v>0</x:v>
      </x:c>
    </x:row>
    <x:row r="42" ht="21" customHeight="1">
      <x:c r="A42" s="15" t="n">
        <x:v>43831</x:v>
      </x:c>
      <x:c r="B42" s="11" t="n">
        <x:v>0.02</x:v>
      </x:c>
      <x:c r="C42" s="11" t="n">
        <x:f>LN(1+B42)</x:f>
        <x:v>0.01980262729617973</x:v>
      </x:c>
      <x:c r="D42" s="2" t="n">
        <x:v>0</x:v>
      </x:c>
      <x:c r="E42" s="16" t="n">
        <x:v>0.026204396860367133</x:v>
      </x:c>
      <x:c r="F42" s="16" t="n">
        <x:v>0.11506801101104193</x:v>
      </x:c>
      <x:c r="G42" s="2" t="n">
        <x:v>0</x:v>
      </x:c>
      <x:c r="H42" s="13" t="n">
        <x:v>0.2595048838242906</x:v>
      </x:c>
      <x:c r="I42" s="14" t="b">
        <x:v>0</x:v>
      </x:c>
    </x:row>
    <x:row r="43" ht="21" customHeight="1">
      <x:c r="A43" s="15" t="n">
        <x:v>43862</x:v>
      </x:c>
      <x:c r="B43" s="11" t="n">
        <x:v>0.0271</x:v>
      </x:c>
      <x:c r="C43" s="11" t="n">
        <x:f>LN(1+B43)</x:f>
        <x:v>0.02673929718962151</x:v>
      </x:c>
      <x:c r="D43" s="2" t="n">
        <x:v>0</x:v>
      </x:c>
      <x:c r="E43" s="16" t="n">
        <x:v>0.03599926032674487</x:v>
      </x:c>
      <x:c r="F43" s="16" t="n">
        <x:v>0.09515392770854603</x:v>
      </x:c>
      <x:c r="G43" s="2" t="n">
        <x:v>0</x:v>
      </x:c>
      <x:c r="H43" s="13" t="n">
        <x:v>0.7954551670481297</x:v>
      </x:c>
      <x:c r="I43" s="14" t="b">
        <x:v>0</x:v>
      </x:c>
    </x:row>
    <x:row r="44" ht="21" customHeight="1">
      <x:c r="A44" s="15" t="n">
        <x:v>43891</x:v>
      </x:c>
      <x:c r="B44" s="11" t="n">
        <x:v>0.2146</x:v>
      </x:c>
      <x:c r="C44" s="11" t="n">
        <x:f>LN(1+B44)</x:f>
        <x:v>0.19441480448133783</x:v>
      </x:c>
      <x:c r="D44" s="2" t="n">
        <x:v>1</x:v>
      </x:c>
      <x:c r="E44" s="16" t="n">
        <x:v>1</x:v>
      </x:c>
      <x:c r="F44" s="16" t="n">
        <x:v>0.10350156911292215</x:v>
      </x:c>
      <x:c r="G44" s="2" t="n">
        <x:v>1</x:v>
      </x:c>
      <x:c r="H44" s="13" t="n">
        <x:v>3.835478377689383</x:v>
      </x:c>
      <x:c r="I44" s="14" t="b">
        <x:v>0</x:v>
      </x:c>
    </x:row>
    <x:row r="45" ht="21" customHeight="1">
      <x:c r="A45" s="15" t="n">
        <x:v>43922</x:v>
      </x:c>
      <x:c r="B45" s="11" t="n">
        <x:v>0.0586</x:v>
      </x:c>
      <x:c r="C45" s="11" t="n">
        <x:f>LN(1+B45)</x:f>
        <x:v>0.05694728044175011</x:v>
      </x:c>
      <x:c r="D45" s="2" t="n">
        <x:v>1</x:v>
      </x:c>
      <x:c r="E45" s="16" t="n">
        <x:v>0.9996129599141274</x:v>
      </x:c>
      <x:c r="F45" s="16" t="n">
        <x:v>0.925068150001833</x:v>
      </x:c>
      <x:c r="G45" s="2" t="n">
        <x:v>1</x:v>
      </x:c>
      <x:c r="H45" s="13" t="n">
        <x:v>0.1513342163399636</x:v>
      </x:c>
      <x:c r="I45" s="14" t="b">
        <x:v>0</x:v>
      </x:c>
    </x:row>
    <x:row r="46" ht="21" customHeight="1">
      <x:c r="A46" s="15" t="n">
        <x:v>43952</x:v>
      </x:c>
      <x:c r="B46" s="11" t="n">
        <x:v>0.04</x:v>
      </x:c>
      <x:c r="C46" s="11" t="n">
        <x:f>LN(1+B46)</x:f>
        <x:v>0.03922071315328133</x:v>
      </x:c>
      <x:c r="D46" s="2" t="n">
        <x:v>1</x:v>
      </x:c>
      <x:c r="E46" s="16" t="n">
        <x:v>0.9649283034406607</x:v>
      </x:c>
      <x:c r="F46" s="16" t="n">
        <x:v>0.9247382963130016</x:v>
      </x:c>
      <x:c r="G46" s="2" t="n">
        <x:v>1</x:v>
      </x:c>
      <x:c r="H46" s="13" t="n">
        <x:v>-0.22629629634461684</x:v>
      </x:c>
      <x:c r="I46" s="14" t="b">
        <x:v>0</x:v>
      </x:c>
    </x:row>
    <x:row r="47" ht="21" customHeight="1">
      <x:c r="A47" s="15" t="n">
        <x:v>43983</x:v>
      </x:c>
      <x:c r="B47" s="11" t="n">
        <x:v>0.0625</x:v>
      </x:c>
      <x:c r="C47" s="11" t="n">
        <x:f>LN(1+B47)</x:f>
        <x:v>0.06062462181643484</x:v>
      </x:c>
      <x:c r="D47" s="2" t="n">
        <x:v>1</x:v>
      </x:c>
      <x:c r="E47" s="16" t="n">
        <x:v>0.9998353947569807</x:v>
      </x:c>
      <x:c r="F47" s="16" t="n">
        <x:v>0.8951784075541289</x:v>
      </x:c>
      <x:c r="G47" s="2" t="n">
        <x:v>1</x:v>
      </x:c>
      <x:c r="H47" s="13" t="n">
        <x:v>0.26506206683676614</x:v>
      </x:c>
      <x:c r="I47" s="14" t="b">
        <x:v>0</x:v>
      </x:c>
    </x:row>
    <x:row r="48" ht="21" customHeight="1">
      <x:c r="A48" s="15" t="n">
        <x:v>44013</x:v>
      </x:c>
      <x:c r="B48" s="11" t="n">
        <x:v>0.139</x:v>
      </x:c>
      <x:c r="C48" s="11" t="n">
        <x:f>LN(1+B48)</x:f>
        <x:v>0.1301506844650451</x:v>
      </x:c>
      <x:c r="D48" s="2" t="n">
        <x:v>1</x:v>
      </x:c>
      <x:c r="E48" s="16" t="n">
        <x:v>1</x:v>
      </x:c>
      <x:c r="F48" s="16" t="n">
        <x:v>0.9249278657041782</x:v>
      </x:c>
      <x:c r="G48" s="2" t="n">
        <x:v>1</x:v>
      </x:c>
      <x:c r="H48" s="13" t="n">
        <x:v>1.7880870706896146</x:v>
      </x:c>
      <x:c r="I48" s="14" t="b">
        <x:v>0</x:v>
      </x:c>
    </x:row>
    <x:row r="49" ht="21" customHeight="1">
      <x:c r="A49" s="15" t="n">
        <x:v>44044</x:v>
      </x:c>
      <x:c r="B49" s="11" t="n">
        <x:v>0.0304</x:v>
      </x:c>
      <x:c r="C49" s="11" t="n">
        <x:f>LN(1+B49)</x:f>
        <x:v>0.0299470763679521</x:v>
      </x:c>
      <x:c r="D49" s="2" t="n">
        <x:v>1</x:v>
      </x:c>
      <x:c r="E49" s="16" t="n">
        <x:v>0.8634748237266782</x:v>
      </x:c>
      <x:c r="F49" s="16" t="n">
        <x:v>0.925068150001833</x:v>
      </x:c>
      <x:c r="G49" s="2" t="n">
        <x:v>0</x:v>
      </x:c>
      <x:c r="H49" s="13" t="n">
        <x:v>-0.43162705151364783</x:v>
      </x:c>
      <x:c r="I49" s="14" t="b">
        <x:v>0</x:v>
      </x:c>
    </x:row>
    <x:row r="50" ht="21" customHeight="1">
      <x:c r="A50" s="15" t="n">
        <x:v>44075</x:v>
      </x:c>
      <x:c r="B50" s="11" t="n">
        <x:v>0.0407</x:v>
      </x:c>
      <x:c r="C50" s="11" t="n">
        <x:f>LN(1+B50)</x:f>
        <x:v>0.03989356366167662</x:v>
      </x:c>
      <x:c r="D50" s="2" t="n">
        <x:v>1</x:v>
      </x:c>
      <x:c r="E50" s="16" t="n">
        <x:v>0.9151992620088584</x:v>
      </x:c>
      <x:c r="F50" s="16" t="n">
        <x:v>0.8087150004034762</x:v>
      </x:c>
      <x:c r="G50" s="2" t="n">
        <x:v>0</x:v>
      </x:c>
      <x:c r="H50" s="13" t="n">
        <x:v>-0.03158567197526385</x:v>
      </x:c>
      <x:c r="I50" s="14" t="b">
        <x:v>0</x:v>
      </x:c>
    </x:row>
    <x:row r="51" ht="21" customHeight="1">
      <x:c r="A51" s="15" t="n">
        <x:v>44105</x:v>
      </x:c>
      <x:c r="B51" s="11" t="n">
        <x:v>0.0192999999999999</x:v>
      </x:c>
      <x:c r="C51" s="11" t="n">
        <x:f>LN(1+B51)</x:f>
        <x:v>0.019116117192229925</x:v>
      </x:c>
      <x:c r="D51" s="2" t="n">
        <x:v>1</x:v>
      </x:c>
      <x:c r="E51" s="16" t="n">
        <x:v>0.5366258017556613</x:v>
      </x:c>
      <x:c r="F51" s="16" t="n">
        <x:v>0.8527969893055737</x:v>
      </x:c>
      <x:c r="G51" s="2" t="n">
        <x:v>0</x:v>
      </x:c>
      <x:c r="H51" s="13" t="n">
        <x:v>-0.6113490222236289</x:v>
      </x:c>
      <x:c r="I51" s="14" t="b">
        <x:v>0</x:v>
      </x:c>
    </x:row>
    <x:row r="52" ht="21" customHeight="1">
      <x:c r="A52" s="15" t="n">
        <x:v>44136</x:v>
      </x:c>
      <x:c r="B52" s="11" t="n">
        <x:v>0.0562</x:v>
      </x:c>
      <x:c r="C52" s="11" t="n">
        <x:f>LN(1+B52)</x:f>
        <x:v>0.05467756129069576</x:v>
      </x:c>
      <x:c r="D52" s="2" t="n">
        <x:v>1</x:v>
      </x:c>
      <x:c r="E52" s="16" t="n">
        <x:v>0.9914837839561937</x:v>
      </x:c>
      <x:c r="F52" s="16" t="n">
        <x:v>0.5301589553753058</x:v>
      </x:c>
      <x:c r="G52" s="2" t="n">
        <x:v>0</x:v>
      </x:c>
      <x:c r="H52" s="13" t="n">
        <x:v>0.6332521129938928</x:v>
      </x:c>
      <x:c r="I52" s="14" t="b">
        <x:v>0</x:v>
      </x:c>
    </x:row>
    <x:row r="53" ht="21" customHeight="1">
      <x:c r="A53" s="15" t="n">
        <x:v>44166</x:v>
      </x:c>
      <x:c r="B53" s="11" t="n">
        <x:v>0.037</x:v>
      </x:c>
      <x:c r="C53" s="11" t="n">
        <x:f>LN(1+B53)</x:f>
        <x:v>0.036331929247390204</x:v>
      </x:c>
      <x:c r="D53" s="2" t="n">
        <x:v>1</x:v>
      </x:c>
      <x:c r="E53" s="16" t="n">
        <x:v>0.9366376079290605</x:v>
      </x:c>
      <x:c r="F53" s="16" t="n">
        <x:v>0.9178102318184996</x:v>
      </x:c>
      <x:c r="G53" s="2" t="n">
        <x:v>0</x:v>
      </x:c>
      <x:c r="H53" s="13" t="n">
        <x:v>-0.27708964794614416</x:v>
      </x:c>
      <x:c r="I53" s="14" t="b">
        <x:v>0</x:v>
      </x:c>
    </x:row>
    <x:row r="54" ht="21" customHeight="1">
      <x:c r="A54" s="15" t="n">
        <x:v>44197</x:v>
      </x:c>
      <x:c r="B54" s="11" t="n">
        <x:v>0.0944999999999999</x:v>
      </x:c>
      <x:c r="C54" s="11" t="n">
        <x:f>LN(1+B54)</x:f>
        <x:v>0.0902976379807804</x:v>
      </x:c>
      <x:c r="D54" s="2" t="n">
        <x:v>1</x:v>
      </x:c>
      <x:c r="E54" s="16" t="n">
        <x:v>0.9999999996928466</x:v>
      </x:c>
      <x:c r="F54" s="16" t="n">
        <x:v>0.8710677517984988</x:v>
      </x:c>
      <x:c r="G54" s="2" t="n">
        <x:v>1</x:v>
      </x:c>
      <x:c r="H54" s="13" t="n">
        <x:v>0.9282721731907198</x:v>
      </x:c>
      <x:c r="I54" s="14" t="b">
        <x:v>0</x:v>
      </x:c>
    </x:row>
    <x:row r="55" ht="21" customHeight="1">
      <x:c r="A55" s="15" t="n">
        <x:v>44228</x:v>
      </x:c>
      <x:c r="B55" s="11" t="n">
        <x:v>0.1138</x:v>
      </x:c>
      <x:c r="C55" s="11" t="n">
        <x:f>LN(1+B55)</x:f>
        <x:v>0.1077775921734311</x:v>
      </x:c>
      <x:c r="D55" s="2" t="n">
        <x:v>1</x:v>
      </x:c>
      <x:c r="E55" s="16" t="n">
        <x:v>0.9999999999999968</x:v>
      </x:c>
      <x:c r="F55" s="16" t="n">
        <x:v>0.9250681497400625</x:v>
      </x:c>
      <x:c r="G55" s="2" t="n">
        <x:v>1</x:v>
      </x:c>
      <x:c r="H55" s="13" t="n">
        <x:v>1.2803222199228643</x:v>
      </x:c>
      <x:c r="I55" s="14" t="b">
        <x:v>0</x:v>
      </x:c>
    </x:row>
    <x:row r="56" ht="21" customHeight="1">
      <x:c r="A56" s="15" t="n">
        <x:v>44256</x:v>
      </x:c>
      <x:c r="B56" s="11" t="n">
        <x:v>0.0241</x:v>
      </x:c>
      <x:c r="C56" s="11" t="n">
        <x:f>LN(1+B56)</x:f>
        <x:v>0.023814178099254887</x:v>
      </x:c>
      <x:c r="D56" s="2" t="n">
        <x:v>0</x:v>
      </x:c>
      <x:c r="E56" s="16" t="n">
        <x:v>0.7699718323347188</x:v>
      </x:c>
      <x:c r="F56" s="16" t="n">
        <x:v>0.9250681500018302</x:v>
      </x:c>
      <x:c r="G56" s="2" t="n">
        <x:v>0</x:v>
      </x:c>
      <x:c r="H56" s="13" t="n">
        <x:v>-0.5809950826873017</x:v>
      </x:c>
      <x:c r="I56" s="14" t="b">
        <x:v>0</x:v>
      </x:c>
    </x:row>
    <x:row r="57" ht="21" customHeight="1">
      <x:c r="A57" s="15" t="n">
        <x:v>44287</x:v>
      </x:c>
      <x:c r="B57" s="11" t="n">
        <x:v>0.0395999999999999</x:v>
      </x:c>
      <x:c r="C57" s="11" t="n">
        <x:f>LN(1+B57)</x:f>
        <x:v>0.03883602378519801</x:v>
      </x:c>
      <x:c r="D57" s="2" t="n">
        <x:v>0</x:v>
      </x:c>
      <x:c r="E57" s="16" t="n">
        <x:v>0.8484321322669911</x:v>
      </x:c>
      <x:c r="F57" s="16" t="n">
        <x:v>0.7290273717748769</x:v>
      </x:c>
      <x:c r="G57" s="2" t="n">
        <x:v>0</x:v>
      </x:c>
      <x:c r="H57" s="13" t="n">
        <x:v>0.07177661346134441</x:v>
      </x:c>
      <x:c r="I57" s="14" t="b">
        <x:v>0</x:v>
      </x:c>
    </x:row>
    <x:row r="58" ht="21" customHeight="1">
      <x:c r="A58" s="15" t="n">
        <x:v>44317</x:v>
      </x:c>
      <x:c r="B58" s="11" t="n">
        <x:v>0.0227</x:v>
      </x:c>
      <x:c r="C58" s="11" t="n">
        <x:f>LN(1+B58)</x:f>
        <x:v>0.022446188829829995</x:v>
      </x:c>
      <x:c r="D58" s="2" t="n">
        <x:v>0</x:v>
      </x:c>
      <x:c r="E58" s="16" t="n">
        <x:v>0.48765045459999234</x:v>
      </x:c>
      <x:c r="F58" s="16" t="n">
        <x:v>0.7958949141926597</x:v>
      </x:c>
      <x:c r="G58" s="2" t="n">
        <x:v>0</x:v>
      </x:c>
      <x:c r="H58" s="13" t="n">
        <x:v>-0.429511427009033</x:v>
      </x:c>
      <x:c r="I58" s="14" t="b">
        <x:v>0</x:v>
      </x:c>
    </x:row>
    <x:row r="59" ht="21" customHeight="1">
      <x:c r="A59" s="15" t="n">
        <x:v>44348</x:v>
      </x:c>
      <x:c r="B59" s="11" t="n">
        <x:v>0.0266</x:v>
      </x:c>
      <x:c r="C59" s="11" t="n">
        <x:f>LN(1+B59)</x:f>
        <x:v>0.0262523711440657</x:v>
      </x:c>
      <x:c r="D59" s="2" t="n">
        <x:v>0</x:v>
      </x:c>
      <x:c r="E59" s="16" t="n">
        <x:v>0.24400826398277073</x:v>
      </x:c>
      <x:c r="F59" s="16" t="n">
        <x:v>0.48841987068936615</x:v>
      </x:c>
      <x:c r="G59" s="2" t="n">
        <x:v>0</x:v>
      </x:c>
      <x:c r="H59" s="13" t="n">
        <x:v>0.12995355237460537</x:v>
      </x:c>
      <x:c r="I59" s="14" t="b">
        <x:v>0</x:v>
      </x:c>
    </x:row>
    <x:row r="60" ht="21" customHeight="1">
      <x:c r="A60" s="15" t="n">
        <x:v>44378</x:v>
      </x:c>
      <x:c r="B60" s="11" t="n">
        <x:v>0.0266</x:v>
      </x:c>
      <x:c r="C60" s="11" t="n">
        <x:f>LN(1+B60)</x:f>
        <x:v>0.0262523711440657</x:v>
      </x:c>
      <x:c r="D60" s="2" t="n">
        <x:v>0</x:v>
      </x:c>
      <x:c r="E60" s="16" t="n">
        <x:v>0.1165914009963913</x:v>
      </x:c>
      <x:c r="F60" s="16" t="n">
        <x:v>0.28077658446790393</x:v>
      </x:c>
      <x:c r="G60" s="2" t="n">
        <x:v>0</x:v>
      </x:c>
      <x:c r="H60" s="13" t="n">
        <x:v>0.4416414260313094</x:v>
      </x:c>
      <x:c r="I60" s="14" t="b">
        <x:v>0</x:v>
      </x:c>
    </x:row>
    <x:row r="61" ht="21" customHeight="1">
      <x:c r="A61" s="15" t="n">
        <x:v>44409</x:v>
      </x:c>
      <x:c r="B61" s="11" t="n">
        <x:v>0.0115</x:v>
      </x:c>
      <x:c r="C61" s="11" t="n">
        <x:f>LN(1+B61)</x:f>
        <x:v>0.01143437762566317</x:v>
      </x:c>
      <x:c r="D61" s="2" t="n">
        <x:v>0</x:v>
      </x:c>
      <x:c r="E61" s="16" t="n">
        <x:v>0.03431600047421442</x:v>
      </x:c>
      <x:c r="F61" s="16" t="n">
        <x:v>0.17218596605531641</x:v>
      </x:c>
      <x:c r="G61" s="2" t="n">
        <x:v>0</x:v>
      </x:c>
      <x:c r="H61" s="13" t="n">
        <x:v>-0.4369538128859597</x:v>
      </x:c>
      <x:c r="I61" s="14" t="b">
        <x:v>0</x:v>
      </x:c>
    </x:row>
    <x:row r="62" ht="21" customHeight="1">
      <x:c r="A62" s="15" t="n">
        <x:v>44440</x:v>
      </x:c>
      <x:c r="B62" s="11" t="n">
        <x:v>0.0158</x:v>
      </x:c>
      <x:c r="C62" s="11" t="n">
        <x:f>LN(1+B62)</x:f>
        <x:v>0.015676479385007616</x:v>
      </x:c>
      <x:c r="D62" s="2" t="n">
        <x:v>0</x:v>
      </x:c>
      <x:c r="E62" s="16" t="n">
        <x:v>0.01970254189628771</x:v>
      </x:c>
      <x:c r="F62" s="16" t="n">
        <x:v>0.1020670162283883</x:v>
      </x:c>
      <x:c r="G62" s="2" t="n">
        <x:v>0</x:v>
      </x:c>
      <x:c r="H62" s="13" t="n">
        <x:v>-0.05232297020190892</x:v>
      </x:c>
      <x:c r="I62" s="14" t="b">
        <x:v>0</x:v>
      </x:c>
    </x:row>
    <x:row r="63" ht="21" customHeight="1">
      <x:c r="A63" s="15" t="n">
        <x:v>44470</x:v>
      </x:c>
      <x:c r="B63" s="11" t="n">
        <x:v>0.009</x:v>
      </x:c>
      <x:c r="C63" s="11" t="n">
        <x:f>LN(1+B63)</x:f>
        <x:v>0.008959741371471803</x:v>
      </x:c>
      <x:c r="D63" s="2" t="n">
        <x:v>0</x:v>
      </x:c>
      <x:c r="E63" s="16" t="n">
        <x:v>0.017195251557456805</x:v>
      </x:c>
      <x:c r="F63" s="16" t="n">
        <x:v>0.0896127423832268</x:v>
      </x:c>
      <x:c r="G63" s="2" t="n">
        <x:v>0</x:v>
      </x:c>
      <x:c r="H63" s="13" t="n">
        <x:v>-0.5959960118032274</x:v>
      </x:c>
      <x:c r="I63" s="14" t="b">
        <x:v>0</x:v>
      </x:c>
    </x:row>
    <x:row r="64" ht="21" customHeight="1">
      <x:c r="A64" s="15" t="n">
        <x:v>44501</x:v>
      </x:c>
      <x:c r="B64" s="11" t="n">
        <x:v>0.021</x:v>
      </x:c>
      <x:c r="C64" s="11" t="n">
        <x:f>LN(1+B64)</x:f>
        <x:v>0.02078253918252841</x:v>
      </x:c>
      <x:c r="D64" s="2" t="n">
        <x:v>0</x:v>
      </x:c>
      <x:c r="E64" s="16" t="n">
        <x:v>0.020536329450487518</x:v>
      </x:c>
      <x:c r="F64" s="16" t="n">
        <x:v>0.08747591212346237</x:v>
      </x:c>
      <x:c r="G64" s="2" t="n">
        <x:v>0</x:v>
      </x:c>
      <x:c r="H64" s="13" t="n">
        <x:v>0.3680271466241552</x:v>
      </x:c>
      <x:c r="I64" s="14" t="b">
        <x:v>0</x:v>
      </x:c>
    </x:row>
    <x:row r="65" ht="21" customHeight="1">
      <x:c r="A65" s="15" t="n">
        <x:v>44531</x:v>
      </x:c>
      <x:c r="B65" s="11" t="n">
        <x:v>0.0295</x:v>
      </x:c>
      <x:c r="C65" s="11" t="n">
        <x:f>LN(1+B65)</x:f>
        <x:v>0.029073247485707165</x:v>
      </x:c>
      <x:c r="D65" s="2" t="n">
        <x:v>0</x:v>
      </x:c>
      <x:c r="E65" s="16" t="n">
        <x:v>0.04370174815019039</x:v>
      </x:c>
      <x:c r="F65" s="16" t="n">
        <x:v>0.09032333518870934</x:v>
      </x:c>
      <x:c r="G65" s="2" t="n">
        <x:v>0</x:v>
      </x:c>
      <x:c r="H65" s="13" t="n">
        <x:v>0.960680546580044</x:v>
      </x:c>
      <x:c r="I65" s="14" t="b">
        <x:v>0</x:v>
      </x:c>
    </x:row>
    <x:row r="66" ht="21" customHeight="1">
      <x:c r="A66" s="15" t="n">
        <x:v>44562</x:v>
      </x:c>
      <x:c r="B66" s="11" t="n">
        <x:v>0.0158</x:v>
      </x:c>
      <x:c r="C66" s="11" t="n">
        <x:f>LN(1+B66)</x:f>
        <x:v>0.015676479385007616</x:v>
      </x:c>
      <x:c r="D66" s="2" t="n">
        <x:v>0</x:v>
      </x:c>
      <x:c r="E66" s="16" t="n">
        <x:v>0.02140046615567756</x:v>
      </x:c>
      <x:c r="F66" s="16" t="n">
        <x:v>0.11006598999458193</x:v>
      </x:c>
      <x:c r="G66" s="2" t="n">
        <x:v>0</x:v>
      </x:c>
      <x:c r="H66" s="13" t="n">
        <x:v>-0.05887210459787978</x:v>
      </x:c>
      <x:c r="I66" s="14" t="b">
        <x:v>0</x:v>
      </x:c>
    </x:row>
    <x:row r="67" ht="21" customHeight="1">
      <x:c r="A67" s="15" t="n">
        <x:v>44593</x:v>
      </x:c>
      <x:c r="B67" s="11" t="n">
        <x:v>0.0152</x:v>
      </x:c>
      <x:c r="C67" s="11" t="n">
        <x:f>LN(1+B67)</x:f>
        <x:v>0.015085637418040953</x:v>
      </x:c>
      <x:c r="D67" s="2" t="n">
        <x:v>0</x:v>
      </x:c>
      <x:c r="E67" s="16" t="n">
        <x:v>0.017192580633174602</x:v>
      </x:c>
      <x:c r="F67" s="16" t="n">
        <x:v>0.09105979296211751</x:v>
      </x:c>
      <x:c r="G67" s="2" t="n">
        <x:v>0</x:v>
      </x:c>
      <x:c r="H67" s="13" t="n">
        <x:v>-0.09141245694535198</x:v>
      </x:c>
      <x:c r="I67" s="14" t="b">
        <x:v>0</x:v>
      </x:c>
    </x:row>
    <x:row r="68" ht="21" customHeight="1">
      <x:c r="A68" s="15" t="n">
        <x:v>44621</x:v>
      </x:c>
      <x:c r="B68" s="11" t="n">
        <x:v>0.0192999999999999</x:v>
      </x:c>
      <x:c r="C68" s="11" t="n">
        <x:f>LN(1+B68)</x:f>
        <x:v>0.019116117192229925</x:v>
      </x:c>
      <x:c r="D68" s="2" t="n">
        <x:v>0</x:v>
      </x:c>
      <x:c r="E68" s="16" t="n">
        <x:v>0.018801791872697666</x:v>
      </x:c>
      <x:c r="F68" s="16" t="n">
        <x:v>0.08747363583669202</x:v>
      </x:c>
      <x:c r="G68" s="2" t="n">
        <x:v>0</x:v>
      </x:c>
      <x:c r="H68" s="13" t="n">
        <x:v>0.23676064178237535</x:v>
      </x:c>
      <x:c r="I68" s="14" t="b">
        <x:v>0</x:v>
      </x:c>
    </x:row>
    <x:row r="69" ht="21" customHeight="1">
      <x:c r="A69" s="15" t="n">
        <x:v>44652</x:v>
      </x:c>
      <x:c r="B69" s="11" t="n">
        <x:v>0.0011</x:v>
      </x:c>
      <x:c r="C69" s="11" t="n">
        <x:f>LN(1+B69)</x:f>
        <x:v>0.0010993954433010642</x:v>
      </x:c>
      <x:c r="D69" s="2" t="n">
        <x:v>0</x:v>
      </x:c>
      <x:c r="E69" s="16" t="n">
        <x:v>0.025634371124718627</x:v>
      </x:c>
      <x:c r="F69" s="16" t="n">
        <x:v>0.08884508102503395</x:v>
      </x:c>
      <x:c r="G69" s="2" t="n">
        <x:v>0</x:v>
      </x:c>
      <x:c r="H69" s="13" t="n">
        <x:v>-1.2470924960853327</x:v>
      </x:c>
      <x:c r="I69" s="14" t="b">
        <x:v>0</x:v>
      </x:c>
    </x:row>
    <x:row r="70" ht="21" customHeight="1">
      <x:c r="A70" s="15" t="n">
        <x:v>44682</x:v>
      </x:c>
      <x:c r="B70" s="11" t="n">
        <x:v>0.0127</x:v>
      </x:c>
      <x:c r="C70" s="11" t="n">
        <x:f>LN(1+B70)</x:f>
        <x:v>0.012620031356102198</x:v>
      </x:c>
      <x:c r="D70" s="2" t="n">
        <x:v>0</x:v>
      </x:c>
      <x:c r="E70" s="16" t="n">
        <x:v>0.017492492773081594</x:v>
      </x:c>
      <x:c r="F70" s="16" t="n">
        <x:v>0.09466812507854581</x:v>
      </x:c>
      <x:c r="G70" s="2" t="n">
        <x:v>0</x:v>
      </x:c>
      <x:c r="H70" s="13" t="n">
        <x:v>-0.29585029947855773</x:v>
      </x:c>
      <x:c r="I70" s="14" t="b">
        <x:v>0</x:v>
      </x:c>
    </x:row>
    <x:row r="71" ht="21" customHeight="1">
      <x:c r="A71" s="15" t="n">
        <x:v>44713</x:v>
      </x:c>
      <x:c r="B71" s="11" t="n">
        <x:v>-0.0032</x:v>
      </x:c>
      <x:c r="C71" s="11" t="n">
        <x:f>LN(1+B71)</x:f>
        <x:v>-0.0032051309489483358</x:v>
      </x:c>
      <x:c r="D71" s="2" t="n">
        <x:v>0</x:v>
      </x:c>
      <x:c r="E71" s="16" t="n">
        <x:v>0.03786187338028116</x:v>
      </x:c>
      <x:c r="F71" s="16" t="n">
        <x:v>0.08772923500919262</x:v>
      </x:c>
      <x:c r="G71" s="2" t="n">
        <x:v>0</x:v>
      </x:c>
      <x:c r="H71" s="13" t="n">
        <x:v>-1.59455521990479</x:v>
      </x:c>
      <x:c r="I71" s="14" t="b">
        <x:v>0</x:v>
      </x:c>
    </x:row>
    <x:row r="72" ht="21" customHeight="1">
      <x:c r="A72" s="15" t="n">
        <x:v>44743</x:v>
      </x:c>
      <x:c r="B72" s="11" t="n">
        <x:v>0.0083</x:v>
      </x:c>
      <x:c r="C72" s="11" t="n">
        <x:f>LN(1+B72)</x:f>
        <x:v>0.008265744417032593</x:v>
      </x:c>
      <x:c r="D72" s="2" t="n">
        <x:v>0</x:v>
      </x:c>
      <x:c r="E72" s="16" t="n">
        <x:v>0.020829784219467348</x:v>
      </x:c>
      <x:c r="F72" s="16" t="n">
        <x:v>0.10508897519565144</x:v>
      </x:c>
      <x:c r="G72" s="2" t="n">
        <x:v>0</x:v>
      </x:c>
      <x:c r="H72" s="13" t="n">
        <x:v>-0.6596520062603234</x:v>
      </x:c>
      <x:c r="I72" s="14" t="b">
        <x:v>0</x:v>
      </x:c>
    </x:row>
    <x:row r="73" ht="21" customHeight="1">
      <x:c r="A73" s="15" t="n">
        <x:v>44774</x:v>
      </x:c>
      <x:c r="B73" s="11" t="n">
        <x:v>0.0025</x:v>
      </x:c>
      <x:c r="C73" s="11" t="n">
        <x:f>LN(1+B73)</x:f>
        <x:v>0.002496880198587146</x:v>
      </x:c>
      <x:c r="D73" s="2" t="n">
        <x:v>0</x:v>
      </x:c>
      <x:c r="E73" s="16" t="n">
        <x:v>0.023584305668113047</x:v>
      </x:c>
      <x:c r="F73" s="16" t="n">
        <x:v>0.09057343108726439</x:v>
      </x:c>
      <x:c r="G73" s="2" t="n">
        <x:v>0</x:v>
      </x:c>
      <x:c r="H73" s="13" t="n">
        <x:v>-1.1323236770561236</x:v>
      </x:c>
      <x:c r="I73" s="14" t="b">
        <x:v>0</x:v>
      </x:c>
    </x:row>
    <x:row r="74" ht="21" customHeight="1">
      <x:c r="A74" s="15" t="n">
        <x:v>44805</x:v>
      </x:c>
      <x:c r="B74" s="11" t="n">
        <x:v>-0.0021</x:v>
      </x:c>
      <x:c r="C74" s="11" t="n">
        <x:f>LN(1+B74)</x:f>
        <x:v>-0.0021022080918701985</x:v>
      </x:c>
      <x:c r="D74" s="2" t="n">
        <x:v>0</x:v>
      </x:c>
      <x:c r="E74" s="16" t="n">
        <x:v>0.03586728397368246</x:v>
      </x:c>
      <x:c r="F74" s="16" t="n">
        <x:v>0.09292096327828331</x:v>
      </x:c>
      <x:c r="G74" s="2" t="n">
        <x:v>0</x:v>
      </x:c>
      <x:c r="H74" s="13" t="n">
        <x:v>-1.5054697532271364</x:v>
      </x:c>
      <x:c r="I74" s="14" t="b">
        <x:v>0</x:v>
      </x:c>
    </x:row>
    <x:row r="75" ht="21" customHeight="1">
      <x:c r="A75" s="15" t="n">
        <x:v>44835</x:v>
      </x:c>
      <x:c r="B75" s="11" t="n">
        <x:v>0.0069999999999999</x:v>
      </x:c>
      <x:c r="C75" s="11" t="n">
        <x:f>LN(1+B75)</x:f>
        <x:v>0.006975613736425138</x:v>
      </x:c>
      <x:c r="D75" s="2" t="n">
        <x:v>0</x:v>
      </x:c>
      <x:c r="E75" s="16" t="n">
        <x:v>0.02137306112085965</x:v>
      </x:c>
      <x:c r="F75" s="16" t="n">
        <x:v>0.10338909268351565</x:v>
      </x:c>
      <x:c r="G75" s="2" t="n">
        <x:v>0</x:v>
      </x:c>
      <x:c r="H75" s="13" t="n">
        <x:v>-0.7653552512460204</x:v>
      </x:c>
      <x:c r="I75" s="14" t="b">
        <x:v>0</x:v>
      </x:c>
    </x:row>
    <x:row r="76" ht="21" customHeight="1">
      <x:c r="A76" s="15" t="n">
        <x:v>44866</x:v>
      </x:c>
      <x:c r="B76" s="11" t="n">
        <x:v>0.0074</x:v>
      </x:c>
      <x:c r="C76" s="11" t="n">
        <x:f>LN(1+B76)</x:f>
        <x:v>0.007372754329413157</x:v>
      </x:c>
      <x:c r="D76" s="2" t="n">
        <x:v>0</x:v>
      </x:c>
      <x:c r="E76" s="16" t="n">
        <x:v>0.01834441086695105</x:v>
      </x:c>
      <x:c r="F76" s="16" t="n">
        <x:v>0.0910364371078864</x:v>
      </x:c>
      <x:c r="G76" s="2" t="n">
        <x:v>0</x:v>
      </x:c>
      <x:c r="H76" s="13" t="n">
        <x:v>-0.7284399883796506</x:v>
      </x:c>
      <x:c r="I76" s="14" t="b">
        <x:v>0</x:v>
      </x:c>
    </x:row>
    <x:row r="77" ht="21" customHeight="1">
      <x:c r="A77" s="15" t="n">
        <x:v>44896</x:v>
      </x:c>
      <x:c r="B77" s="11" t="n">
        <x:v>0.0070999999999999</x:v>
      </x:c>
      <x:c r="C77" s="11" t="n">
        <x:f>LN(1+B77)</x:f>
        <x:v>0.007074913671961764</x:v>
      </x:c>
      <x:c r="D77" s="2" t="n">
        <x:v>0</x:v>
      </x:c>
      <x:c r="E77" s="16" t="n">
        <x:v>0.01797931639168796</x:v>
      </x:c>
      <x:c r="F77" s="16" t="n">
        <x:v>0.0884552795097549</x:v>
      </x:c>
      <x:c r="G77" s="2" t="n">
        <x:v>0</x:v>
      </x:c>
      <x:c r="H77" s="13" t="n">
        <x:v>-0.75235785656202</x:v>
      </x:c>
      <x:c r="I77" s="14" t="b">
        <x:v>0</x:v>
      </x:c>
    </x:row>
    <x:row r="78" ht="21" customHeight="1">
      <x:c r="A78" s="15" t="n">
        <x:v>44927</x:v>
      </x:c>
      <x:c r="B78" s="11" t="n">
        <x:v>0.0131</x:v>
      </x:c>
      <x:c r="C78" s="11" t="n">
        <x:f>LN(1+B78)</x:f>
        <x:v>0.013014937077494763</x:v>
      </x:c>
      <x:c r="D78" s="2" t="n">
        <x:v>0</x:v>
      </x:c>
      <x:c r="E78" s="16" t="n">
        <x:v>0.01620954002653819</x:v>
      </x:c>
      <x:c r="F78" s="16" t="n">
        <x:v>0.08814412889814333</x:v>
      </x:c>
      <x:c r="G78" s="2" t="n">
        <x:v>0</x:v>
      </x:c>
      <x:c r="H78" s="13" t="n">
        <x:v>-0.25919409261235377</x:v>
      </x:c>
      <x:c r="I78" s="14" t="b">
        <x:v>0</x:v>
      </x:c>
    </x:row>
    <x:row r="79" ht="21" customHeight="1">
      <x:c r="A79" s="15" t="n">
        <x:v>44958</x:v>
      </x:c>
      <x:c r="B79" s="11" t="n">
        <x:v>0.0034</x:v>
      </x:c>
      <x:c r="C79" s="11" t="n">
        <x:f>LN(1+B79)</x:f>
        <x:v>0.003394233068015617</x:v>
      </x:c>
      <x:c r="D79" s="2" t="n">
        <x:v>0</x:v>
      </x:c>
      <x:c r="E79" s="16" t="n">
        <x:v>0.021182986099442535</x:v>
      </x:c>
      <x:c r="F79" s="16" t="n">
        <x:v>0.08663584258941402</x:v>
      </x:c>
      <x:c r="G79" s="2" t="n">
        <x:v>0</x:v>
      </x:c>
      <x:c r="H79" s="13" t="n">
        <x:v>-1.0578245183084845</x:v>
      </x:c>
      <x:c r="I79" s="14" t="b">
        <x:v>0</x:v>
      </x:c>
    </x:row>
    <x:row r="80" ht="21" customHeight="1">
      <x:c r="A80" s="15" t="n">
        <x:v>44986</x:v>
      </x:c>
      <x:c r="B80" s="11" t="n">
        <x:v>0.0173</x:v>
      </x:c>
      <x:c r="C80" s="11" t="n">
        <x:f>LN(1+B80)</x:f>
        <x:v>0.01715205881756566</x:v>
      </x:c>
      <x:c r="D80" s="2" t="n">
        <x:v>0</x:v>
      </x:c>
      <x:c r="E80" s="16" t="n">
        <x:v>0.018102955442397345</x:v>
      </x:c>
      <x:c r="F80" s="16" t="n">
        <x:v>0.09087444627216258</x:v>
      </x:c>
      <x:c r="G80" s="2" t="n">
        <x:v>0</x:v>
      </x:c>
      <x:c r="H80" s="13" t="n">
        <x:v>0.07621816715470374</x:v>
      </x:c>
      <x:c r="I80" s="14" t="b">
        <x:v>0</x:v>
      </x:c>
    </x:row>
    <x:row r="81" ht="21" customHeight="1">
      <x:c r="A81" s="15" t="n">
        <x:v>45017</x:v>
      </x:c>
      <x:c r="B81" s="11" t="n">
        <x:v>0.0069999999999999</x:v>
      </x:c>
      <x:c r="C81" s="11" t="n">
        <x:f>LN(1+B81)</x:f>
        <x:v>0.006975613736425138</x:v>
      </x:c>
      <x:c r="D81" s="2" t="n">
        <x:v>0</x:v>
      </x:c>
      <x:c r="E81" s="16" t="n">
        <x:v>0.0180022012266495</x:v>
      </x:c>
      <x:c r="F81" s="16" t="n">
        <x:v>0.0882494998879935</x:v>
      </x:c>
      <x:c r="G81" s="2" t="n">
        <x:v>0</x:v>
      </x:c>
      <x:c r="H81" s="13" t="n">
        <x:v>-0.7605568759448891</x:v>
      </x:c>
      <x:c r="I81" s="14" t="b">
        <x:v>0</x:v>
      </x:c>
    </x:row>
    <x:row r="82" ht="21" customHeight="1">
      <x:c r="A82" s="15" t="n">
        <x:v>45047</x:v>
      </x:c>
      <x:c r="B82" s="11" t="n">
        <x:v>0.0213</x:v>
      </x:c>
      <x:c r="C82" s="11" t="n">
        <x:f>LN(1+B82)</x:f>
        <x:v>0.02107632560191631</x:v>
      </x:c>
      <x:c r="D82" s="2" t="n">
        <x:v>0</x:v>
      </x:c>
      <x:c r="E82" s="16" t="n">
        <x:v>0.021076521996910045</x:v>
      </x:c>
      <x:c r="F82" s="16" t="n">
        <x:v>0.08816363242634595</x:v>
      </x:c>
      <x:c r="G82" s="2" t="n">
        <x:v>0</x:v>
      </x:c>
      <x:c r="H82" s="13" t="n">
        <x:v>0.3900343872801762</x:v>
      </x:c>
      <x:c r="I82" s="14" t="b">
        <x:v>0</x:v>
      </x:c>
    </x:row>
    <x:row r="83" ht="21" customHeight="1">
      <x:c r="A83" s="15" t="n">
        <x:v>45078</x:v>
      </x:c>
      <x:c r="B83" s="11" t="n">
        <x:v>0.0062</x:v>
      </x:c>
      <x:c r="C83" s="11" t="n">
        <x:f>LN(1+B83)</x:f>
        <x:v>0.006180859075081099</x:v>
      </x:c>
      <x:c r="D83" s="2" t="n">
        <x:v>0</x:v>
      </x:c>
      <x:c r="E83" s="16" t="n">
        <x:v>0.019177859717477423</x:v>
      </x:c>
      <x:c r="F83" s="16" t="n">
        <x:v>0.09078371257756535</x:v>
      </x:c>
      <x:c r="G83" s="2" t="n">
        <x:v>0</x:v>
      </x:c>
      <x:c r="H83" s="13" t="n">
        <x:v>-0.827388505965932</x:v>
      </x:c>
      <x:c r="I83" s="14" t="b">
        <x:v>0</x:v>
      </x:c>
    </x:row>
    <x:row r="84" ht="21" customHeight="1">
      <x:c r="A84" s="15" t="n">
        <x:v>45108</x:v>
      </x:c>
      <x:c r="B84" s="11" t="n">
        <x:v>0.0066</x:v>
      </x:c>
      <x:c r="C84" s="11" t="n">
        <x:f>LN(1+B84)</x:f>
        <x:v>0.006578315360122507</x:v>
      </x:c>
      <x:c r="D84" s="2" t="n">
        <x:v>0</x:v>
      </x:c>
      <x:c r="E84" s="16" t="n">
        <x:v>0.018493847628517284</x:v>
      </x:c>
      <x:c r="F84" s="16" t="n">
        <x:v>0.08916558365610319</x:v>
      </x:c>
      <x:c r="G84" s="2" t="n">
        <x:v>0</x:v>
      </x:c>
      <x:c r="H84" s="13" t="n">
        <x:v>-0.7938930846228548</x:v>
      </x:c>
      <x:c r="I84" s="14" t="b">
        <x:v>0</x:v>
      </x:c>
    </x:row>
    <x:row r="85" ht="21" customHeight="1">
      <x:c r="A85" s="15" t="n">
        <x:v>45139</x:v>
      </x:c>
      <x:c r="B85" s="11" t="n">
        <x:v>0.0046</x:v>
      </x:c>
      <x:c r="C85" s="11" t="n">
        <x:f>LN(1+B85)</x:f>
        <x:v>0.004589452333807224</x:v>
      </x:c>
      <x:c r="D85" s="2" t="n">
        <x:v>0</x:v>
      </x:c>
      <x:c r="E85" s="16" t="n">
        <x:v>0.020210060549439513</x:v>
      </x:c>
      <x:c r="F85" s="16" t="n">
        <x:v>0.08858263651707492</x:v>
      </x:c>
      <x:c r="G85" s="2" t="n">
        <x:v>0</x:v>
      </x:c>
      <x:c r="H85" s="13" t="n">
        <x:v>-0.9590168667027618</x:v>
      </x:c>
      <x:c r="I85" s="14" t="b">
        <x:v>0</x:v>
      </x:c>
    </x:row>
    <x:row r="86" ht="21" customHeight="1">
      <x:c r="A86" s="15" t="n">
        <x:v>45170</x:v>
      </x:c>
      <x:c r="B86" s="11" t="n">
        <x:v>0.0092</x:v>
      </x:c>
      <x:c r="C86" s="11" t="n">
        <x:f>LN(1+B86)</x:f>
        <x:v>0.009157937784765724</x:v>
      </x:c>
      <x:c r="D86" s="2" t="n">
        <x:v>0</x:v>
      </x:c>
      <x:c r="E86" s="16" t="n">
        <x:v>0.017203682931797838</x:v>
      </x:c>
      <x:c r="F86" s="16" t="n">
        <x:v>0.09004527354990267</x:v>
      </x:c>
      <x:c r="G86" s="2" t="n">
        <x:v>0</x:v>
      </x:c>
      <x:c r="H86" s="13" t="n">
        <x:v>-0.5797108782421172</x:v>
      </x:c>
      <x:c r="I86" s="14" t="b">
        <x:v>0</x:v>
      </x:c>
    </x:row>
    <x:row r="87" ht="21" customHeight="1">
      <x:c r="A87" s="15" t="n">
        <x:v>45200</x:v>
      </x:c>
      <x:c r="B87" s="11" t="n">
        <x:v>0.0029</x:v>
      </x:c>
      <x:c r="C87" s="11" t="n">
        <x:f>LN(1+B87)</x:f>
        <x:v>0.002895803112025468</x:v>
      </x:c>
      <x:c r="D87" s="2" t="n">
        <x:v>0</x:v>
      </x:c>
      <x:c r="E87" s="16" t="n">
        <x:v>0.022111928490065633</x:v>
      </x:c>
      <x:c r="F87" s="16" t="n">
        <x:v>0.0874830977355729</x:v>
      </x:c>
      <x:c r="G87" s="2" t="n">
        <x:v>0</x:v>
      </x:c>
      <x:c r="H87" s="13" t="n">
        <x:v>-1.0991623729860838</x:v>
      </x:c>
      <x:c r="I87" s="14" t="b">
        <x:v>0</x:v>
      </x:c>
    </x:row>
    <x:row r="88" ht="21" customHeight="1">
      <x:c r="A88" s="15" t="n">
        <x:v>45231</x:v>
      </x:c>
      <x:c r="B88" s="11" t="n">
        <x:v>0.0196</x:v>
      </x:c>
      <x:c r="C88" s="11" t="n">
        <x:f>LN(1+B88)</x:f>
        <x:v>0.019410393519823387</x:v>
      </x:c>
      <x:c r="D88" s="2" t="n">
        <x:v>0</x:v>
      </x:c>
      <x:c r="E88" s="16" t="n">
        <x:v>0.020056127854770216</x:v>
      </x:c>
      <x:c r="F88" s="16" t="n">
        <x:v>0.09166613448597627</x:v>
      </x:c>
      <x:c r="G88" s="2" t="n">
        <x:v>0</x:v>
      </x:c>
      <x:c r="H88" s="13" t="n">
        <x:v>0.2554385442417035</x:v>
      </x:c>
      <x:c r="I88" s="14" t="b">
        <x:v>0</x:v>
      </x:c>
    </x:row>
    <x:row r="89" ht="21" customHeight="1">
      <x:c r="A89" s="15" t="n">
        <x:v>45261</x:v>
      </x:c>
      <x:c r="B89" s="11" t="n">
        <x:v>0.0074</x:v>
      </x:c>
      <x:c r="C89" s="11" t="n">
        <x:f>LN(1+B89)</x:f>
        <x:v>0.007372754329413157</x:v>
      </x:c>
      <x:c r="D89" s="2" t="n">
        <x:v>0</x:v>
      </x:c>
      <x:c r="E89" s="16" t="n">
        <x:v>0.018100403818921973</x:v>
      </x:c>
      <x:c r="F89" s="16" t="n">
        <x:v>0.0899140848978179</x:v>
      </x:c>
      <x:c r="G89" s="2" t="n">
        <x:v>0</x:v>
      </x:c>
      <x:c r="H89" s="13" t="n">
        <x:v>-0.7280612763662868</x:v>
      </x:c>
      <x:c r="I89" s="14" t="b">
        <x:v>0</x:v>
      </x:c>
    </x:row>
    <x:row r="90" ht="21" customHeight="1">
      <x:c r="A90" s="15" t="n">
        <x:v>45292</x:v>
      </x:c>
      <x:c r="B90" s="11" t="n">
        <x:v>0.0325</x:v>
      </x:c>
      <x:c r="C90" s="11" t="n">
        <x:f>LN(1+B90)</x:f>
        <x:v>0.03198304585305074</x:v>
      </x:c>
      <x:c r="D90" s="2" t="n">
        <x:v>0</x:v>
      </x:c>
      <x:c r="E90" s="16" t="n">
        <x:v>0.061046564807043756</x:v>
      </x:c>
      <x:c r="F90" s="16" t="n">
        <x:v>0.08824732527495835</x:v>
      </x:c>
      <x:c r="G90" s="2" t="n">
        <x:v>0</x:v>
      </x:c>
      <x:c r="H90" s="13" t="n">
        <x:v>1.1412912342439672</x:v>
      </x:c>
      <x:c r="I90" s="14" t="b">
        <x:v>0</x:v>
      </x:c>
    </x:row>
    <x:row r="91" ht="21" customHeight="1">
      <x:c r="A91" s="15" t="n">
        <x:v>45323</x:v>
      </x:c>
      <x:c r="B91" s="11" t="n">
        <x:v>0.0197</x:v>
      </x:c>
      <x:c r="C91" s="11" t="n">
        <x:f>LN(1+B91)</x:f>
        <x:v>0.019508466388043013</x:v>
      </x:c>
      <x:c r="D91" s="2" t="n">
        <x:v>0</x:v>
      </x:c>
      <x:c r="E91" s="16" t="n">
        <x:v>0.02825423796019727</x:v>
      </x:c>
      <x:c r="F91" s="16" t="n">
        <x:v>0.12484805512219378</x:v>
      </x:c>
      <x:c r="G91" s="2" t="n">
        <x:v>0</x:v>
      </x:c>
      <x:c r="H91" s="13" t="n">
        <x:v>0.22610101812481537</x:v>
      </x:c>
      <x:c r="I91" s="14" t="b">
        <x:v>0</x:v>
      </x:c>
    </x:row>
    <x:row r="92" ht="21" customHeight="1">
      <x:c r="A92" s="15" t="n">
        <x:v>45352</x:v>
      </x:c>
      <x:c r="B92" s="11" t="n">
        <x:v>0.0134</x:v>
      </x:c>
      <x:c r="C92" s="11" t="n">
        <x:f>LN(1+B92)</x:f>
        <x:v>0.013311014059672416</x:v>
      </x:c>
      <x:c r="D92" s="2" t="n">
        <x:v>0</x:v>
      </x:c>
      <x:c r="E92" s="16" t="n">
        <x:v>0.017988274168011652</x:v>
      </x:c>
      <x:c r="F92" s="16" t="n">
        <x:v>0.0969008983014564</x:v>
      </x:c>
      <x:c r="G92" s="2" t="n">
        <x:v>0</x:v>
      </x:c>
      <x:c r="H92" s="13" t="n">
        <x:v>-0.24061434886358152</x:v>
      </x:c>
      <x:c r="I92" s="14" t="b">
        <x:v>0</x:v>
      </x:c>
    </x:row>
    <x:row r="93" ht="21" customHeight="1">
      <x:c r="A93" s="15" t="n">
        <x:v>45383</x:v>
      </x:c>
      <x:c r="B93" s="11" t="n">
        <x:v>0.0187</x:v>
      </x:c>
      <x:c r="C93" s="11" t="n">
        <x:f>LN(1+B93)</x:f>
        <x:v>0.01852730461388356</x:v>
      </x:c>
      <x:c r="D93" s="2" t="n">
        <x:v>0</x:v>
      </x:c>
      <x:c r="E93" s="16" t="n">
        <x:v>0.018462376528329442</x:v>
      </x:c>
      <x:c r="F93" s="16" t="n">
        <x:v>0.08815176313467837</x:v>
      </x:c>
      <x:c r="G93" s="2" t="n">
        <x:v>0</x:v>
      </x:c>
      <x:c r="H93" s="13" t="n">
        <x:v>0.18914495787431276</x:v>
      </x:c>
      <x:c r="I93" s="14" t="b">
        <x:v>0</x:v>
      </x:c>
    </x:row>
    <x:row r="94" ht="21" customHeight="1">
      <x:c r="A94" s="15" t="n">
        <x:v>45413</x:v>
      </x:c>
      <x:c r="B94" s="11" t="n">
        <x:v>-0.022</x:v>
      </x:c>
      <x:c r="C94" s="11" t="n">
        <x:f>LN(1+B94)</x:f>
        <x:v>-0.022245608947319737</x:v>
      </x:c>
      <x:c r="D94" s="2" t="n">
        <x:v>0</x:v>
      </x:c>
      <x:c r="E94" s="16" t="n">
        <x:v>0.5529903436860524</x:v>
      </x:c>
      <x:c r="F94" s="16" t="n">
        <x:v>0.08855581537149478</x:v>
      </x:c>
      <x:c r="G94" s="2" t="n">
        <x:v>0</x:v>
      </x:c>
      <x:c r="H94" s="13" t="n">
        <x:v>-2.664215162979904</x:v>
      </x:c>
      <x:c r="I94" s="14" t="b">
        <x:v>0</x:v>
      </x:c>
    </x:row>
    <x:row r="95" ht="21" customHeight="1">
      <x:c r="A95" s="15" t="n">
        <x:v>45444</x:v>
      </x:c>
      <x:c r="B95" s="11" t="n">
        <x:v>0.0165</x:v>
      </x:c>
      <x:c r="C95" s="11" t="n">
        <x:f>LN(1+B95)</x:f>
        <x:v>0.01636535408626423</x:v>
      </x:c>
      <x:c r="D95" s="2" t="n">
        <x:v>0</x:v>
      </x:c>
      <x:c r="E95" s="16" t="n">
        <x:v>0.1768279757760305</x:v>
      </x:c>
      <x:c r="F95" s="16" t="n">
        <x:v>0.5441055844682685</x:v>
      </x:c>
      <x:c r="G95" s="2" t="n">
        <x:v>0</x:v>
      </x:c>
      <x:c r="H95" s="13" t="n">
        <x:v>-0.38993651057872114</x:v>
      </x:c>
      <x:c r="I95" s="14" t="b">
        <x:v>0</x:v>
      </x:c>
    </x:row>
    <x:row r="96" ht="21" customHeight="1">
      <x:c r="A96" s="15" t="n">
        <x:v>45474</x:v>
      </x:c>
      <x:c r="B96" s="11" t="n">
        <x:v>0.0067</x:v>
      </x:c>
      <x:c r="C96" s="11" t="n">
        <x:f>LN(1+B96)</x:f>
        <x:v>0.006677654753240497</x:v>
      </x:c>
      <x:c r="D96" s="2" t="n">
        <x:v>0</x:v>
      </x:c>
      <x:c r="E96" s="16" t="n">
        <x:v>0.05229337391919099</x:v>
      </x:c>
      <x:c r="F96" s="16" t="n">
        <x:v>0.22352239636027788</x:v>
      </x:c>
      <x:c r="G96" s="2" t="n">
        <x:v>0</x:v>
      </x:c>
      <x:c r="H96" s="13" t="n">
        <x:v>-0.8267019173748896</x:v>
      </x:c>
      <x:c r="I96" s="14" t="b">
        <x:v>0</x:v>
      </x:c>
    </x:row>
    <x:row r="97" ht="21" customHeight="1">
      <x:c r="A97" s="15" t="n">
        <x:v>45505</x:v>
      </x:c>
      <x:c r="B97" s="11" t="n">
        <x:v>0.0064</x:v>
      </x:c>
      <x:c r="C97" s="11" t="n">
        <x:f>LN(1+B97)</x:f>
        <x:v>0.006379606964038988</x:v>
      </x:c>
      <x:c r="D97" s="2" t="n">
        <x:v>0</x:v>
      </x:c>
      <x:c r="E97" s="16" t="n">
        <x:v>0.025167804444671617</x:v>
      </x:c>
      <x:c r="F97" s="16" t="n">
        <x:v>0.11738817587766266</x:v>
      </x:c>
      <x:c r="G97" s="2" t="n">
        <x:v>0</x:v>
      </x:c>
      <x:c r="H97" s="13" t="n">
        <x:v>-0.8184869888559266</x:v>
      </x:c>
      <x:c r="I97" s="14" t="b">
        <x:v>0</x:v>
      </x:c>
    </x:row>
    <x:row r="98" ht="21" customHeight="1">
      <x:c r="A98" s="15" t="n">
        <x:v>45536</x:v>
      </x:c>
      <x:c r="B98" s="11" t="n">
        <x:v>0.0269</x:v>
      </x:c>
      <x:c r="C98" s="11" t="n">
        <x:f>LN(1+B98)</x:f>
        <x:v>0.02654455522211221</x:v>
      </x:c>
      <x:c r="D98" s="2" t="n">
        <x:v>0</x:v>
      </x:c>
      <x:c r="E98" s="16" t="n">
        <x:v>0.03496663242191304</x:v>
      </x:c>
      <x:c r="F98" s="16" t="n">
        <x:v>0.09427049510140197</x:v>
      </x:c>
      <x:c r="G98" s="2" t="n">
        <x:v>0</x:v>
      </x:c>
      <x:c r="H98" s="13" t="n">
        <x:v>0.7838283897539052</x:v>
      </x:c>
      <x:c r="I98" s="14" t="b">
        <x:v>0</x:v>
      </x:c>
    </x:row>
    <x:row r="99" ht="21" customHeight="1">
      <x:c r="A99" s="15" t="n">
        <x:v>45566</x:v>
      </x:c>
      <x:c r="B99" s="11" t="n">
        <x:v>0.0762</x:v>
      </x:c>
      <x:c r="C99" s="11" t="n">
        <x:f>LN(1+B99)</x:f>
        <x:v>0.07343631807318227</x:v>
      </x:c>
      <x:c r="D99" s="2" t="n">
        <x:v>1</x:v>
      </x:c>
      <x:c r="E99" s="16" t="n">
        <x:v>0.9999189378609081</x:v>
      </x:c>
      <x:c r="F99" s="16" t="n">
        <x:v>0.10262151524762042</x:v>
      </x:c>
      <x:c r="G99" s="2" t="n">
        <x:v>0</x:v>
      </x:c>
      <x:c r="H99" s="13" t="n">
        <x:v>1.8279899467147347</x:v>
      </x:c>
      <x:c r="I99" s="14" t="b">
        <x:v>0</x:v>
      </x:c>
    </x:row>
    <x:row r="100" ht="21" customHeight="1">
      <x:c r="A100" s="15" t="n">
        <x:v>45597</x:v>
      </x:c>
      <x:c r="B100" s="11" t="n">
        <x:v>0.0424</x:v>
      </x:c>
      <x:c r="C100" s="11" t="n">
        <x:f>LN(1+B100)</x:f>
        <x:v>0.0415257468284983</x:v>
      </x:c>
      <x:c r="D100" s="2" t="n">
        <x:v>1</x:v>
      </x:c>
      <x:c r="E100" s="16" t="n">
        <x:v>0.9777042900214964</x:v>
      </x:c>
      <x:c r="F100" s="16" t="n">
        <x:v>0.924999065050222</x:v>
      </x:c>
      <x:c r="G100" s="2" t="n">
        <x:v>0</x:v>
      </x:c>
      <x:c r="H100" s="13" t="n">
        <x:v>-0.1775932490701805</x:v>
      </x:c>
      <x:c r="I100" s="14" t="b">
        <x:v>0</x:v>
      </x:c>
    </x:row>
    <x:row r="101" ht="21" customHeight="1">
      <x:c r="A101" s="15" t="n">
        <x:v>45627</x:v>
      </x:c>
      <x:c r="B101" s="11" t="n">
        <x:v>0.0102</x:v>
      </x:c>
      <x:c r="C101" s="11" t="n">
        <x:f>LN(1+B101)</x:f>
        <x:v>0.010148331051815136</x:v>
      </x:c>
      <x:c r="D101" s="2" t="n">
        <x:v>1</x:v>
      </x:c>
      <x:c r="E101" s="16" t="n">
        <x:v>0.625887387132594</x:v>
      </x:c>
      <x:c r="F101" s="16" t="n">
        <x:v>0.906066701702386</x:v>
      </x:c>
      <x:c r="G101" s="2" t="n">
        <x:v>0</x:v>
      </x:c>
      <x:c r="H101" s="13" t="n">
        <x:v>-0.953887665562456</x:v>
      </x:c>
      <x:c r="I101" s="14" t="b">
        <x:v>0</x:v>
      </x:c>
    </x:row>
    <x:row r="102" ht="21" customHeight="1">
      <x:c r="A102" s="15" t="n">
        <x:v>45658</x:v>
      </x:c>
      <x:c r="B102" s="11" t="n">
        <x:v>0.016</x:v>
      </x:c>
      <x:c r="C102" s="11" t="n">
        <x:f>LN(1+B102)</x:f>
        <x:v>0.015873349156290163</x:v>
      </x:c>
      <x:c r="D102" s="2" t="n">
        <x:v>1</x:v>
      </x:c>
      <x:c r="E102" s="16" t="n">
        <x:v>0.21476969179848013</x:v>
      </x:c>
      <x:c r="F102" s="16" t="n">
        <x:v>0.6062318591447641</x:v>
      </x:c>
      <x:c r="G102" s="2" t="n">
        <x:v>0</x:v>
      </x:c>
      <x:c r="H102" s="13" t="n">
        <x:v>-0.4728289038770098</x:v>
      </x:c>
      <x:c r="I102" s="14" t="b">
        <x:v>0</x:v>
      </x:c>
    </x:row>
    <x:row r="103" ht="21" customHeight="1">
      <x:c r="A103" s="15" t="n">
        <x:v>45689</x:v>
      </x:c>
      <x:c r="B103" s="11" t="n">
        <x:v>0.0683</x:v>
      </x:c>
      <x:c r="C103" s="11" t="n">
        <x:f>LN(1+B103)</x:f>
        <x:v>0.06606859996970471</x:v>
      </x:c>
      <x:c r="D103" s="2" t="n">
        <x:v>1</x:v>
      </x:c>
      <x:c r="E103" s="16" t="n">
        <x:v>0.9994412570513093</x:v>
      </x:c>
      <x:c r="F103" s="16" t="n">
        <x:v>0.25585810381646457</x:v>
      </x:c>
      <x:c r="G103" s="2" t="n">
        <x:v>0</x:v>
      </x:c>
      <x:c r="H103" s="13" t="n">
        <x:v>1.278763790610782</x:v>
      </x:c>
      <x:c r="I103" s="14" t="b">
        <x:v>0</x:v>
      </x:c>
    </x:row>
    <x:row r="104" ht="21" customHeight="1">
      <x:c r="A104" s="15" t="n">
        <x:v>45717</x:v>
      </x:c>
      <x:c r="B104" s="11" t="n">
        <x:v>0.0123</x:v>
      </x:c>
      <x:c r="C104" s="11" t="n">
        <x:f>LN(1+B104)</x:f>
        <x:v>0.012224969622568948</x:v>
      </x:c>
      <x:c r="D104" s="2" t="n">
        <x:v>1</x:v>
      </x:c>
      <x:c r="E104" s="16" t="n">
        <x:v>0.6761290361561024</x:v>
      </x:c>
      <x:c r="F104" s="16" t="n">
        <x:v>0.9245919630913259</x:v>
      </x:c>
      <x:c r="G104" s="2" t="n">
        <x:v>0</x:v>
      </x:c>
      <x:c r="H104" s="13" t="n">
        <x:v>-0.9046839845985679</x:v>
      </x:c>
      <x:c r="I104" s="14" t="b">
        <x:v>0</x:v>
      </x:c>
    </x:row>
    <x:row r="105" ht="21" customHeight="1">
      <x:c r="A105" s="15" t="n">
        <x:v>45748</x:v>
      </x:c>
      <x:c r="B105" s="11" t="n">
        <x:v>0.0109</x:v>
      </x:c>
      <x:c r="C105" s="11" t="n">
        <x:f>LN(1+B105)</x:f>
        <x:v>0.010841023177874769</x:v>
      </x:c>
      <x:c r="D105" s="2" t="n">
        <x:v>1</x:v>
      </x:c>
      <x:c r="E105" s="16" t="n">
        <x:v>0.24110067710968522</x:v>
      </x:c>
      <x:c r="F105" s="16" t="n">
        <x:v>0.6490501455917799</x:v>
      </x:c>
      <x:c r="G105" s="2" t="n">
        <x:v>0</x:v>
      </x:c>
      <x:c r="H105" s="13" t="n">
        <x:v>-0.7579864930314165</x:v>
      </x:c>
      <x:c r="I105" s="14" t="b">
        <x:v>0</x:v>
      </x:c>
    </x:row>
    <x:row r="106" ht="21" customHeight="1">
      <x:c r="A106" s="15" t="n">
        <x:v>45778</x:v>
      </x:c>
      <x:c r="B106" s="11" t="n">
        <x:v>0.0675</x:v>
      </x:c>
      <x:c r="C106" s="11" t="n">
        <x:f>LN(1+B106)</x:f>
        <x:v>0.06531946612064246</x:v>
      </x:c>
      <x:c r="D106" s="2" t="n">
        <x:v>1</x:v>
      </x:c>
      <x:c r="E106" s="16" t="n">
        <x:v>0.9993366297574502</x:v>
      </x:c>
      <x:c r="F106" s="16" t="n">
        <x:v>0.2782986027531098</x:v>
      </x:c>
      <x:c r="G106" s="2" t="n">
        <x:v>0</x:v>
      </x:c>
      <x:c r="H106" s="13" t="n">
        <x:v>1.2203833375335582</x:v>
      </x:c>
      <x:c r="I106" s="14" t="b">
        <x:v>0</x:v>
      </x:c>
    </x:row>
    <x:row r="107" ht="21" customHeight="1">
      <x:c r="A107" s="15" t="n">
        <x:v>45809</x:v>
      </x:c>
      <x:c r="B107" s="11" t="n">
        <x:v>0.0222</x:v>
      </x:c>
      <x:c r="C107" s="11" t="n">
        <x:f>LN(1+B107)</x:f>
        <x:v>0.021957167352042138</x:v>
      </x:c>
      <x:c r="D107" s="2" t="n">
        <x:v>1</x:v>
      </x:c>
      <x:c r="E107" s="16" t="n">
        <x:v>0.742806577785013</x:v>
      </x:c>
      <x:c r="F107" s="16" t="n">
        <x:v>0.9245027948111099</x:v>
      </x:c>
      <x:c r="G107" s="2" t="n">
        <x:v>0</x:v>
      </x:c>
      <x:c r="H107" s="13" t="n">
        <x:v>-0.6285409868020417</x:v>
      </x:c>
      <x:c r="I107" s="14" t="b">
        <x:v>0</x:v>
      </x:c>
    </x:row>
    <x:row r="108" ht="21" customHeight="1">
      <x:c r="A108" s="15" t="n">
        <x:v>45839</x:v>
      </x:c>
      <x:c r="B108" s="11" t="n">
        <x:v>0.05</x:v>
      </x:c>
      <x:c r="C108" s="11" t="n">
        <x:f>LN(1+B108)</x:f>
        <x:v>0.04879016416943205</x:v>
      </x:c>
      <x:c r="D108" s="2" t="n">
        <x:v>1</x:v>
      </x:c>
      <x:c r="E108" s="16" t="n">
        <x:v>0.9791786699378543</x:v>
      </x:c>
      <x:c r="F108" s="16" t="n">
        <x:v>0.7058758695188274</x:v>
      </x:c>
      <x:c r="G108" s="2" t="n">
        <x:v>0</x:v>
      </x:c>
      <x:c r="H108" s="13" t="n">
        <x:v>0.28178405930755945</x:v>
      </x:c>
      <x:c r="I108" s="14" t="b">
        <x:v>0</x:v>
      </x:c>
    </x:row>
    <x:row r="109" ht="21" customHeight="1">
      <x:c r="A109" s="15" t="n">
        <x:v>45870</x:v>
      </x:c>
      <x:c r="B109" s="11" t="n">
        <x:v>0.0283999999999999</x:v>
      </x:c>
      <x:c r="C109" s="11" t="n">
        <x:f>LN(1+B109)</x:f>
        <x:v>0.028004196409597344</x:v>
      </x:c>
      <x:c r="D109" s="2" t="n">
        <x:v>1</x:v>
      </x:c>
      <x:c r="E109" s="16" t="n">
        <x:v>0.7992722257285256</x:v>
      </x:c>
      <x:c r="F109" s="16" t="n">
        <x:v>0.9073232373220828</x:v>
      </x:c>
      <x:c r="G109" s="2" t="n">
        <x:v>0</x:v>
      </x:c>
      <x:c r="H109" s="13" t="n">
        <x:v>-0.44786507436806433</x:v>
      </x:c>
      <x:c r="I109" s="14" t="b">
        <x:v>0</x:v>
      </x:c>
    </x:row>
    <x:row r="110" ht="21" customHeight="1">
      <x:c r="A110" s="15" t="n">
        <x:v>45901</x:v>
      </x:c>
      <x:c r="B110" s="11" t="n">
        <x:v>0.1644</x:v>
      </x:c>
      <x:c r="C110" s="11" t="n">
        <x:f>LN(1+B110)</x:f>
        <x:v>0.1522059328893312</x:v>
      </x:c>
      <x:c r="D110" s="2" t="n">
        <x:v>1</x:v>
      </x:c>
      <x:c r="E110" s="16" t="n">
        <x:v>1</x:v>
      </x:c>
      <x:c r="F110" s="16" t="n">
        <x:v>0.7539985393565627</x:v>
      </x:c>
      <x:c r="G110" s="2" t="n">
        <x:v>1</x:v>
      </x:c>
      <x:c r="H110" s="13" t="n">
        <x:v>2.367873814555796</x:v>
      </x:c>
      <x:c r="I110" s="14" t="b">
        <x:v>0</x:v>
      </x:c>
    </x:row>
    <x:row r="111" ht="21" customHeight="1">
      <x:c r="A111" s="15" t="n">
        <x:v>45931</x:v>
      </x:c>
      <x:c r="B111" s="11" t="n">
        <x:v>0.2196999999999999</x:v>
      </x:c>
      <x:c r="C111" s="11" t="n">
        <x:f>LN(1+B111)</x:f>
        <x:v>0.19860492686705555</x:v>
      </x:c>
      <x:c r="D111" s="2" t="n">
        <x:v>1</x:v>
      </x:c>
      <x:c r="E111" s="16" t="n">
        <x:v>1</x:v>
      </x:c>
      <x:c r="F111" s="16" t="n">
        <x:v>0.925068150001833</x:v>
      </x:c>
      <x:c r="G111" s="2" t="n">
        <x:v>1</x:v>
      </x:c>
      <x:c r="H111" s="13" t="n">
        <x:v>3.3547021161802775</x:v>
      </x:c>
      <x:c r="I111" s="14" t="b">
        <x:v>0</x:v>
      </x:c>
    </x:row>
    <x:row r="112" ht="21" customHeight="1">
      <x:c r="A112" s="15" t="n">
        <x:v>45962</x:v>
      </x:c>
      <x:c r="B112" s="11" t="n">
        <x:v>0.0285</x:v>
      </x:c>
      <x:c r="C112" s="11" t="n">
        <x:f>LN(1+B112)</x:f>
        <x:v>0.02810143011087478</x:v>
      </x:c>
      <x:c r="D112" s="2" t="n">
        <x:v>1</x:v>
      </x:c>
      <x:c r="E112" s="16" t="n">
        <x:v>0.8354238363306056</x:v>
      </x:c>
      <x:c r="F112" s="16" t="n">
        <x:v>0.925068150001833</x:v>
      </x:c>
      <x:c r="G112" s="2" t="n">
        <x:v>0</x:v>
      </x:c>
      <x:c r="H112" s="13" t="n">
        <x:v>-0.47501724893283553</x:v>
      </x:c>
      <x:c r="I112" s="14" t="b">
        <x:v>0</x:v>
      </x:c>
    </x:row>
    <x:row r="113" ht="21" customHeight="1">
      <x:c r="A113" s="15" t="n">
        <x:v>45992</x:v>
      </x:c>
      <x:c r="B113" s="11" t="n">
        <x:v>0.0312</x:v>
      </x:c>
      <x:c r="C113" s="11" t="n">
        <x:f>LN(1+B113)</x:f>
        <x:v>0.03072317264284048</x:v>
      </x:c>
      <x:c r="D113" s="2" t="n">
        <x:v>1</x:v>
      </x:c>
      <x:c r="E113" s="16" t="n">
        <x:v>0.6736733158594176</x:v>
      </x:c>
      <x:c r="F113" s="16" t="n">
        <x:v>0.7848086351310174</x:v>
      </x:c>
      <x:c r="G113" s="2" t="n">
        <x:v>0</x:v>
      </x:c>
      <x:c r="H113" s="13" t="n">
        <x:v>-0.18575725425611928</x:v>
      </x:c>
      <x:c r="I113" s="14" t="b">
        <x:v>0</x:v>
      </x:c>
    </x:row>
    <x:row r="114" ht="21" customHeight="1">
      <x:c r="A114" s="15" t="n">
        <x:v>46023</x:v>
      </x:c>
      <x:c r="B114" s="11" t="n">
        <x:v>0.0672</x:v>
      </x:c>
      <x:c r="C114" s="11" t="n">
        <x:f>LN(1+B114)</x:f>
        <x:v>0.06503839617922215</x:v>
      </x:c>
      <x:c r="D114" s="2" t="n">
        <x:v>1</x:v>
      </x:c>
      <x:c r="E114" s="16" t="n">
        <x:v>0.9998446524667455</x:v>
      </x:c>
      <x:c r="F114" s="16" t="n">
        <x:v>0.646957265737299</x:v>
      </x:c>
      <x:c r="G114" s="2" t="n">
        <x:v>0</x:v>
      </x:c>
      <x:c r="H114" s="13" t="n">
        <x:v>0.6432599605076776</x:v>
      </x:c>
      <x:c r="I114" s="14" t="b">
        <x:v>0</x:v>
      </x:c>
    </x:row>
    <x:row r="115" ht="21" customHeight="1">
      <x:c r="A115" s="15" t="n">
        <x:v>46054</x:v>
      </x:c>
      <x:c r="B115" s="11" t="n">
        <x:v>0.0187999999999999</x:v>
      </x:c>
      <x:c r="C115" s="11" t="n">
        <x:f>LN(1+B115)</x:f>
        <x:v>0.01862546412316482</x:v>
      </x:c>
      <x:c r="D115" s="2" t="n">
        <x:v>1</x:v>
      </x:c>
      <x:c r="E115" s="16" t="n">
        <x:v>0.7065613171303478</x:v>
      </x:c>
      <x:c r="F115" s="16" t="n">
        <x:v>0.9249357555580396</x:v>
      </x:c>
      <x:c r="G115" s="2" t="n">
        <x:v>0</x:v>
      </x:c>
      <x:c r="H115" s="13" t="n">
        <x:v>-0.7198525392848869</x:v>
      </x:c>
      <x:c r="I115" s="14" t="b">
        <x:v>0</x:v>
      </x:c>
    </x:row>
    <x:row r="116" ht="21" customHeight="1">
      <x:c r="A116" s="15" t="n">
        <x:v>46082</x:v>
      </x:c>
      <x:c r="B116" s="11" t="n">
        <x:v>0.0368</x:v>
      </x:c>
      <x:c r="C116" s="11" t="n">
        <x:f>LN(1+B116)</x:f>
        <x:v>0.03613904661587314</x:v>
      </x:c>
      <x:c r="D116" s="2" t="n">
        <x:v>1</x:v>
      </x:c>
      <x:c r="E116" s="16" t="n">
        <x:v>0.7267758014218083</x:v>
      </x:c>
      <x:c r="F116" s="16" t="n">
        <x:v>0.6749859607833074</x:v>
      </x:c>
      <x:c r="G116" s="2" t="n">
        <x:v>0</x:v>
      </x:c>
      <x:c r="H116" s="13" t="n">
        <x:v>0.10523862028844494</x:v>
      </x:c>
      <x:c r="I116" s="14" t="b">
        <x:v>0</x:v>
      </x:c>
    </x:row>
    <x:row r="117" ht="21" customHeight="1">
      <x:c r="A117" s="15" t="n">
        <x:v>46113</x:v>
      </x:c>
      <x:c r="B117" s="11" t="n">
        <x:v>0.0295</x:v>
      </x:c>
      <x:c r="C117" s="11" t="n">
        <x:f>LN(1+B117)</x:f>
        <x:v>0.029073247485707165</x:v>
      </x:c>
      <x:c r="D117" s="2" t="n">
        <x:v>1</x:v>
      </x:c>
      <x:c r="E117" s="16" t="n">
        <x:v>0.5086242968062479</x:v>
      </x:c>
      <x:c r="F117" s="16" t="n">
        <x:v>0.692213691074673</x:v>
      </x:c>
      <x:c r="G117" s="2" t="n">
        <x:v>0</x:v>
      </x:c>
      <x:c r="H117" s="13" t="n">
        <x:v>-0.0833615875059228</x:v>
      </x:c>
      <x:c r="I117" s="14" t="b">
        <x:v>0</x:v>
      </x:c>
    </x:row>
    <x:row r="118" ht="21" customHeight="1">
      <x:c r="A118" s="15" t="n">
        <x:v>46143</x:v>
      </x:c>
      <x:c r="B118" s="11" t="n">
        <x:v>0.0764</x:v>
      </x:c>
      <x:c r="C118" s="11" t="n">
        <x:f>LN(1+B118)</x:f>
        <x:v>0.07362213987061371</x:v>
      </x:c>
      <x:c r="D118" s="2" t="n">
        <x:v>1</x:v>
      </x:c>
      <x:c r="E118" s="16" t="n">
        <x:v>0.9999916673961704</x:v>
      </x:c>
      <x:c r="F118" s="16" t="n">
        <x:v>0.5062947613614807</x:v>
      </x:c>
      <x:c r="G118" s="2" t="n">
        <x:v>0</x:v>
      </x:c>
      <x:c r="H118" s="13" t="n">
        <x:v>0.9706976995348264</x:v>
      </x:c>
      <x:c r="I118" s="14" t="b">
        <x:v>0</x:v>
      </x:c>
    </x:row>
    <x:row r="119" ht="21" customHeight="1">
      <x:c r="A119" s="15" t="n">
        <x:v>46174</x:v>
      </x:c>
      <x:c r="B119" s="11" t="n">
        <x:v>0.0639</x:v>
      </x:c>
      <x:c r="C119" s="11" t="n">
        <x:f>LN(1+B119)</x:f>
        <x:v>0.06194140154018336</x:v>
      </x:c>
      <x:c r="D119" s="2" t="n">
        <x:v>1</x:v>
      </x:c>
      <x:c r="E119" s="16" t="n">
        <x:v>0.9999282328343078</x:v>
      </x:c>
      <x:c r="F119" s="16" t="n">
        <x:v>0.9250610485665783</x:v>
      </x:c>
      <x:c r="G119" s="2" t="n">
        <x:v>0</x:v>
      </x:c>
      <x:c r="H119" s="13" t="n">
        <x:v>0.25955494772162896</x:v>
      </x:c>
      <x:c r="I119" s="14" t="b">
        <x:v>0</x:v>
      </x:c>
    </x:row>
    <x:row r="120" ht="21" customHeight="1">
      <x:c r="A120" s="15" t="n">
        <x:v>46204</x:v>
      </x:c>
      <x:c r="B120" s="11" t="n">
        <x:v>0.0339</x:v>
      </x:c>
      <x:c r="C120" s="11" t="n">
        <x:f>LN(1+B120)</x:f>
        <x:v>0.03333805961051041</x:v>
      </x:c>
      <x:c r="D120" s="2" t="n">
        <x:v>1</x:v>
      </x:c>
      <x:c r="E120" s="16" t="n">
        <x:v>0.909809196537531</x:v>
      </x:c>
      <x:c r="F120" s="16" t="n">
        <x:v>0.9250069866618984</x:v>
      </x:c>
      <x:c r="G120" s="2" t="n">
        <x:v>0</x:v>
      </x:c>
      <x:c r="H120" s="13" t="n">
        <x:v>-0.35458927736003165</x:v>
      </x:c>
      <x:c r="I120" s="14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7" customHeight="1">
      <x:c r="A2" s="3" t="str">
        <x:v>Expanding one month ahead checks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1" customHeight="1">
      <x:c r="A3" s="2" t="str">
        <x:v>January 2025 to July 2026. Each monthly fit uses earlier data only. Model family selected retrospectively.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7" t="str">
        <x:v>Month</x:v>
      </x:c>
      <x:c r="B5" s="7" t="str">
        <x:v>Actual return</x:v>
      </x:c>
      <x:c r="C5" s="7" t="str">
        <x:v>One mean</x:v>
      </x:c>
      <x:c r="D5" s="7" t="str">
        <x:v>Mixture mean</x:v>
      </x:c>
      <x:c r="E5" s="7" t="str">
        <x:v>Switching mean</x:v>
      </x:c>
      <x:c r="F5" s="7" t="str">
        <x:v>One log score</x:v>
      </x:c>
      <x:c r="G5" s="7" t="str">
        <x:v>Mixture log score</x:v>
      </x:c>
      <x:c r="H5" s="7" t="str">
        <x:v>Switching log score</x:v>
      </x:c>
      <x:c r="I5" s="7" t="str">
        <x:v>One squared error</x:v>
      </x:c>
      <x:c r="J5" s="7" t="str">
        <x:v>Mixture squared error</x:v>
      </x:c>
      <x:c r="K5" s="7" t="str">
        <x:v>Switch squared error</x:v>
      </x:c>
    </x:row>
    <x:row r="6" ht="21" customHeight="1">
      <x:c r="A6" s="15" t="n">
        <x:v>45658</x:v>
      </x:c>
      <x:c r="B6" s="11" t="n">
        <x:v>0.016</x:v>
      </x:c>
      <x:c r="C6" s="11" t="n">
        <x:v>0.0312498752404877</x:v>
      </x:c>
      <x:c r="D6" s="11" t="n">
        <x:v>0.0312617500177273</x:v>
      </x:c>
      <x:c r="E6" s="11" t="n">
        <x:v>0.03371110349633101</x:v>
      </x:c>
      <x:c r="F6" s="10" t="n">
        <x:v>2.39845888130316</x:v>
      </x:c>
      <x:c r="G6" s="10" t="n">
        <x:v>3.143202646207153</x:v>
      </x:c>
      <x:c r="H6" s="10" t="n">
        <x:v>3.1243258590251024</x:v>
      </x:c>
      <x:c r="I6" s="10" t="n">
        <x:f>(C6-B6)^2</x:f>
        <x:v>0.00023255869485043975</x:v>
      </x:c>
      <x:c r="J6" s="10" t="n">
        <x:f>(D6-B6)^2</x:f>
        <x:v>0.00023292101360359912</x:v>
      </x:c>
      <x:c r="K6" s="10" t="n">
        <x:f>(E6-B6)^2</x:f>
        <x:v>0.0003136831870577485</x:v>
      </x:c>
    </x:row>
    <x:row r="7" ht="21" customHeight="1">
      <x:c r="A7" s="15" t="n">
        <x:v>45689</x:v>
      </x:c>
      <x:c r="B7" s="11" t="n">
        <x:v>0.0683</x:v>
      </x:c>
      <x:c r="C7" s="11" t="n">
        <x:v>0.031092582062415608</x:v>
      </x:c>
      <x:c r="D7" s="11" t="n">
        <x:v>0.031104325237875197</x:v>
      </x:c>
      <x:c r="E7" s="11" t="n">
        <x:v>0.02229116841940949</x:v>
      </x:c>
      <x:c r="F7" s="10" t="n">
        <x:v>1.8966421434189746</x:v>
      </x:c>
      <x:c r="G7" s="10" t="n">
        <x:v>0.6150361069439322</x:v>
      </x:c>
      <x:c r="H7" s="10" t="n">
        <x:v>0.2603616993388143</x:v>
      </x:c>
      <x:c r="I7" s="10" t="n">
        <x:f>(C7-B7)^2</x:f>
        <x:v>0.0013843919495820768</x:v>
      </x:c>
      <x:c r="J7" s="10" t="n">
        <x:f>(D7-B7)^2</x:f>
        <x:v>0.0013835182210097682</x:v>
      </x:c>
      <x:c r="K7" s="10" t="n">
        <x:f>(E7-B7)^2</x:f>
        <x:v>0.0021168125834111423</x:v>
      </x:c>
    </x:row>
    <x:row r="8" ht="21" customHeight="1">
      <x:c r="A8" s="15" t="n">
        <x:v>45717</x:v>
      </x:c>
      <x:c r="B8" s="11" t="n">
        <x:v>0.0123</x:v>
      </x:c>
      <x:c r="C8" s="11" t="n">
        <x:v>0.03147237371700747</x:v>
      </x:c>
      <x:c r="D8" s="11" t="n">
        <x:v>0.03148342007586762</x:v>
      </x:c>
      <x:c r="E8" s="11" t="n">
        <x:v>0.053385686808992854</x:v>
      </x:c>
      <x:c r="F8" s="10" t="n">
        <x:v>2.3427483036293686</x:v>
      </x:c>
      <x:c r="G8" s="10" t="n">
        <x:v>3.0531712353927567</x:v>
      </x:c>
      <x:c r="H8" s="10" t="n">
        <x:v>2.177084461776231</x:v>
      </x:c>
      <x:c r="I8" s="10" t="n">
        <x:f>(C8-B8)^2</x:f>
        <x:v>0.00036757991394459897</x:v>
      </x:c>
      <x:c r="J8" s="10" t="n">
        <x:f>(D8-B8)^2</x:f>
        <x:v>0.000368003605807201</x:v>
      </x:c>
      <x:c r="K8" s="10" t="n">
        <x:f>(E8-B8)^2</x:f>
        <x:v>0.0016880336605666496</x:v>
      </x:c>
    </x:row>
    <x:row r="9" ht="21" customHeight="1">
      <x:c r="A9" s="15" t="n">
        <x:v>45748</x:v>
      </x:c>
      <x:c r="B9" s="11" t="n">
        <x:v>0.0109</x:v>
      </x:c>
      <x:c r="C9" s="11" t="n">
        <x:v>0.03127862148230411</x:v>
      </x:c>
      <x:c r="D9" s="11" t="n">
        <x:v>0.03128958047850644</x:v>
      </x:c>
      <x:c r="E9" s="11" t="n">
        <x:v>0.03521255626381904</x:v>
      </x:c>
      <x:c r="F9" s="10" t="n">
        <x:v>2.324125451883497</x:v>
      </x:c>
      <x:c r="G9" s="10" t="n">
        <x:v>3.0068406621172263</x:v>
      </x:c>
      <x:c r="H9" s="10" t="n">
        <x:v>2.9868408844805807</x:v>
      </x:c>
      <x:c r="I9" s="10" t="n">
        <x:f>(C9-B9)^2</x:f>
        <x:v>0.00041528821351902666</x:v>
      </x:c>
      <x:c r="J9" s="10" t="n">
        <x:f>(D9-B9)^2</x:f>
        <x:v>0.0004157349920894909</x:v>
      </x:c>
      <x:c r="K9" s="10" t="n">
        <x:f>(E9-B9)^2</x:f>
        <x:v>0.0005911003920813665</x:v>
      </x:c>
    </x:row>
    <x:row r="10" ht="21" customHeight="1">
      <x:c r="A10" s="15" t="n">
        <x:v>45778</x:v>
      </x:c>
      <x:c r="B10" s="11" t="n">
        <x:v>0.0675</x:v>
      </x:c>
      <x:c r="C10" s="11" t="n">
        <x:v>0.03107474069199195</x:v>
      </x:c>
      <x:c r="D10" s="11" t="n">
        <x:v>0.031085624593554274</x:v>
      </x:c>
      <x:c r="E10" s="11" t="n">
        <x:v>0.022834087363105077</x:v>
      </x:c>
      <x:c r="F10" s="10" t="n">
        <x:v>1.9201026535635335</x:v>
      </x:c>
      <x:c r="G10" s="10" t="n">
        <x:v>0.7449929912368098</x:v>
      </x:c>
      <x:c r="H10" s="10" t="n">
        <x:v>0.399434774001898</x:v>
      </x:c>
      <x:c r="I10" s="10" t="n">
        <x:f>(C10-B10)^2</x:f>
        <x:v>0.0013267995156556272</x:v>
      </x:c>
      <x:c r="J10" s="10" t="n">
        <x:f>(D10-B10)^2</x:f>
        <x:v>0.0013260067362415597</x:v>
      </x:c>
      <x:c r="K10" s="10" t="n">
        <x:f>(E10-B10)^2</x:f>
        <x:v>0.00199504375168673</x:v>
      </x:c>
    </x:row>
    <x:row r="11" ht="21" customHeight="1">
      <x:c r="A11" s="15" t="n">
        <x:v>45809</x:v>
      </x:c>
      <x:c r="B11" s="11" t="n">
        <x:v>0.0222</x:v>
      </x:c>
      <x:c r="C11" s="11" t="n">
        <x:v>0.03143550554707203</x:v>
      </x:c>
      <x:c r="D11" s="11" t="n">
        <x:v>0.03144582071586915</x:v>
      </x:c>
      <x:c r="E11" s="11" t="n">
        <x:v>0.051393399452771285</x:v>
      </x:c>
      <x:c r="F11" s="10" t="n">
        <x:v>2.4689684760225483</x:v>
      </x:c>
      <x:c r="G11" s="10" t="n">
        <x:v>3.1853573235479993</x:v>
      </x:c>
      <x:c r="H11" s="10" t="n">
        <x:v>2.289811432545726</x:v>
      </x:c>
      <x:c r="I11" s="10" t="n">
        <x:f>(C11-B11)^2</x:f>
        <x:v>0.0000852945627099982</x:v>
      </x:c>
      <x:c r="J11" s="10" t="n">
        <x:f>(D11-B11)^2</x:f>
        <x:v>0.00008548520070999506</x:v>
      </x:c>
      <x:c r="K11" s="10" t="n">
        <x:f>(E11-B11)^2</x:f>
        <x:v>0.0008522545716090667</x:v>
      </x:c>
    </x:row>
    <x:row r="12" ht="21" customHeight="1">
      <x:c r="A12" s="15" t="n">
        <x:v>45839</x:v>
      </x:c>
      <x:c r="B12" s="11" t="n">
        <x:v>0.05</x:v>
      </x:c>
      <x:c r="C12" s="11" t="n">
        <x:v>0.03134491594477478</x:v>
      </x:c>
      <x:c r="D12" s="11" t="n">
        <x:v>0.031355151616403676</x:v>
      </x:c>
      <x:c r="E12" s="11" t="n">
        <x:v>0.03671643321436749</x:v>
      </x:c>
      <x:c r="F12" s="10" t="n">
        <x:v>2.3460352150827126</x:v>
      </x:c>
      <x:c r="G12" s="10" t="n">
        <x:v>1.2253752723205182</x:v>
      </x:c>
      <x:c r="H12" s="10" t="n">
        <x:v>1.6245866500629587</x:v>
      </x:c>
      <x:c r="I12" s="10" t="n">
        <x:f>(C12-B12)^2</x:f>
        <x:v>0.00034801216110751836</x:v>
      </x:c>
      <x:c r="J12" s="10" t="n">
        <x:f>(D12-B12)^2</x:f>
        <x:v>0.00034763037124729455</x:v>
      </x:c>
      <x:c r="K12" s="10" t="n">
        <x:f>(E12-B12)^2</x:f>
        <x:v>0.00017645314654835933</x:v>
      </x:c>
    </x:row>
    <x:row r="13" ht="21" customHeight="1">
      <x:c r="A13" s="15" t="n">
        <x:v>45870</x:v>
      </x:c>
      <x:c r="B13" s="11" t="n">
        <x:v>0.0283999999999999</x:v>
      </x:c>
      <x:c r="C13" s="11" t="n">
        <x:v>0.03152611925499833</x:v>
      </x:c>
      <x:c r="D13" s="11" t="n">
        <x:v>0.03153610591600284</x:v>
      </x:c>
      <x:c r="E13" s="11" t="n">
        <x:v>0.04914977970736635</x:v>
      </x:c>
      <x:c r="F13" s="10" t="n">
        <x:v>2.5074285993543</x:v>
      </x:c>
      <x:c r="G13" s="10" t="n">
        <x:v>2.975703934823321</x:v>
      </x:c>
      <x:c r="H13" s="10" t="n">
        <x:v>2.2517257167783056</x:v>
      </x:c>
      <x:c r="I13" s="10" t="n">
        <x:f>(C13-B13)^2</x:f>
        <x:v>0.000009772621596471953</x:v>
      </x:c>
      <x:c r="J13" s="10" t="n">
        <x:f>(D13-B13)^2</x:f>
        <x:v>0.00000983516031638862</x:v>
      </x:c>
      <x:c r="K13" s="10" t="n">
        <x:f>(E13-B13)^2</x:f>
        <x:v>0.0004305533579042365</x:v>
      </x:c>
    </x:row>
    <x:row r="14" ht="21" customHeight="1">
      <x:c r="A14" s="15" t="n">
        <x:v>45901</x:v>
      </x:c>
      <x:c r="B14" s="11" t="n">
        <x:v>0.1644</x:v>
      </x:c>
      <x:c r="C14" s="11" t="n">
        <x:v>0.03149604615915708</x:v>
      </x:c>
      <x:c r="D14" s="11" t="n">
        <x:v>0.031505991904957786</x:v>
      </x:c>
      <x:c r="E14" s="11" t="n">
        <x:v>0.04348588389120807</x:v>
      </x:c>
      <x:c r="F14" s="10" t="n">
        <x:v>-4.60583709665619</x:v>
      </x:c>
      <x:c r="G14" s="10" t="n">
        <x:v>-1.07771840623972</x:v>
      </x:c>
      <x:c r="H14" s="10" t="n">
        <x:v>-1.3842781627419105</x:v>
      </x:c>
      <x:c r="I14" s="10" t="n">
        <x:f>(C14-B14)^2</x:f>
        <x:v>0.017663460946528903</x:v>
      </x:c>
      <x:c r="J14" s="10" t="n">
        <x:f>(D14-B14)^2</x:f>
        <x:v>0.017660817387565142</x:v>
      </x:c>
      <x:c r="K14" s="10" t="n">
        <x:f>(E14-B14)^2</x:f>
        <x:v>0.014620223474370414</x:v>
      </x:c>
    </x:row>
    <x:row r="15" ht="21" customHeight="1">
      <x:c r="A15" s="15" t="n">
        <x:v>45931</x:v>
      </x:c>
      <x:c r="B15" s="11" t="n">
        <x:v>0.2196999999999999</x:v>
      </x:c>
      <x:c r="C15" s="11" t="n">
        <x:v>0.03275949361690464</x:v>
      </x:c>
      <x:c r="D15" s="11" t="n">
        <x:v>0.032771793706945496</x:v>
      </x:c>
      <x:c r="E15" s="11" t="n">
        <x:v>0.05247927692242349</x:v>
      </x:c>
      <x:c r="F15" s="10" t="n">
        <x:v>-9.455142402270335</x:v>
      </x:c>
      <x:c r="G15" s="10" t="n">
        <x:v>-2.9326850743002386</x:v>
      </x:c>
      <x:c r="H15" s="10" t="n">
        <x:v>-3.9104054611206487</x:v>
      </x:c>
      <x:c r="I15" s="10" t="n">
        <x:f>(C15-B15)^2</x:f>
        <x:v>0.03494675292676808</x:v>
      </x:c>
      <x:c r="J15" s="10" t="n">
        <x:f>(D15-B15)^2</x:f>
        <x:v>0.034942154307938705</x:v>
      </x:c>
      <x:c r="K15" s="10" t="n">
        <x:f>(E15-B15)^2</x:f>
        <x:v>0.027962770226587493</x:v>
      </x:c>
    </x:row>
    <x:row r="16" ht="21" customHeight="1">
      <x:c r="A16" s="15" t="n">
        <x:v>45962</x:v>
      </x:c>
      <x:c r="B16" s="11" t="n">
        <x:v>0.0285</x:v>
      </x:c>
      <x:c r="C16" s="11" t="n">
        <x:v>0.0345164455936098</x:v>
      </x:c>
      <x:c r="D16" s="11" t="n">
        <x:v>0.03453415489675898</x:v>
      </x:c>
      <x:c r="E16" s="11" t="n">
        <x:v>0.05779634993649474</x:v>
      </x:c>
      <x:c r="F16" s="10" t="n">
        <x:v>2.3505451586086012</x:v>
      </x:c>
      <x:c r="G16" s="10" t="n">
        <x:v>2.9786030965426002</x:v>
      </x:c>
      <x:c r="H16" s="10" t="n">
        <x:v>2.1848520704367607</x:v>
      </x:c>
      <x:c r="I16" s="10" t="n">
        <x:f>(C16-B16)^2</x:f>
        <x:v>0.00003619761758086677</x:v>
      </x:c>
      <x:c r="J16" s="10" t="n">
        <x:f>(D16-B16)^2</x:f>
        <x:v>0.00003641102531808033</x:v>
      </x:c>
      <x:c r="K16" s="10" t="n">
        <x:f>(E16-B16)^2</x:f>
        <x:v>0.0008582761196015553</x:v>
      </x:c>
    </x:row>
    <x:row r="17" ht="21" customHeight="1">
      <x:c r="A17" s="15" t="n">
        <x:v>45992</x:v>
      </x:c>
      <x:c r="B17" s="11" t="n">
        <x:v>0.0312</x:v>
      </x:c>
      <x:c r="C17" s="11" t="n">
        <x:v>0.034460180204570416</x:v>
      </x:c>
      <x:c r="D17" s="11" t="n">
        <x:v>0.03447779587619189</x:v>
      </x:c>
      <x:c r="E17" s="11" t="n">
        <x:v>0.040261225027430396</x:v>
      </x:c>
      <x:c r="F17" s="10" t="n">
        <x:v>2.362258294024528</x:v>
      </x:c>
      <x:c r="G17" s="10" t="n">
        <x:v>2.859199852671362</x:v>
      </x:c>
      <x:c r="H17" s="10" t="n">
        <x:v>2.472230619085418</x:v>
      </x:c>
      <x:c r="I17" s="10" t="n">
        <x:f>(C17-B17)^2</x:f>
        <x:v>0.00001062877496627281</x:v>
      </x:c>
      <x:c r="J17" s="10" t="n">
        <x:f>(D17-B17)^2</x:f>
        <x:v>0.000010743945805980559</x:v>
      </x:c>
      <x:c r="K17" s="10" t="n">
        <x:f>(E17-B17)^2</x:f>
        <x:v>0.000082105798997731</x:v>
      </x:c>
    </x:row>
    <x:row r="18" ht="21" customHeight="1">
      <x:c r="A18" s="15" t="n">
        <x:v>46023</x:v>
      </x:c>
      <x:c r="B18" s="11" t="n">
        <x:v>0.0672</x:v>
      </x:c>
      <x:c r="C18" s="11" t="n">
        <x:v>0.03442997468156544</x:v>
      </x:c>
      <x:c r="D18" s="11" t="n">
        <x:v>0.03444754213206633</x:v>
      </x:c>
      <x:c r="E18" s="11" t="n">
        <x:v>0.029886120729953305</x:v>
      </x:c>
      <x:c r="F18" s="10" t="n">
        <x:v>2.004254291138643</x:v>
      </x:c>
      <x:c r="G18" s="10" t="n">
        <x:v>0.5829660836787695</x:v>
      </x:c>
      <x:c r="H18" s="10" t="n">
        <x:v>0.6805053281212625</x:v>
      </x:c>
      <x:c r="I18" s="10" t="n">
        <x:f>(C18-B18)^2</x:f>
        <x:v>0.001073874559370842</x:v>
      </x:c>
      <x:c r="J18" s="10" t="n">
        <x:f>(D18-B18)^2</x:f>
        <x:v>0.00107272349639077</x:v>
      </x:c>
      <x:c r="K18" s="10" t="n">
        <x:f>(E18-B18)^2</x:f>
        <x:v>0.0013923255861796198</x:v>
      </x:c>
    </x:row>
    <x:row r="19" ht="21" customHeight="1">
      <x:c r="A19" s="15" t="n">
        <x:v>46054</x:v>
      </x:c>
      <x:c r="B19" s="11" t="n">
        <x:v>0.0187999999999999</x:v>
      </x:c>
      <x:c r="C19" s="11" t="n">
        <x:v>0.034730776753628595</x:v>
      </x:c>
      <x:c r="D19" s="11" t="n">
        <x:v>0.034747374820043114</x:v>
      </x:c>
      <x:c r="E19" s="11" t="n">
        <x:v>0.05631409760724804</x:v>
      </x:c>
      <x:c r="F19" s="10" t="n">
        <x:v>2.291286577963838</x:v>
      </x:c>
      <x:c r="G19" s="10" t="n">
        <x:v>3.1627540407727186</x:v>
      </x:c>
      <x:c r="H19" s="10" t="n">
        <x:v>2.2494411029344334</x:v>
      </x:c>
      <x:c r="I19" s="10" t="n">
        <x:f>(C19-B19)^2</x:f>
        <x:v>0.0002537896479739564</x:v>
      </x:c>
      <x:c r="J19" s="10" t="n">
        <x:f>(D19-B19)^2</x:f>
        <x:v>0.0002543187636509483</x:v>
      </x:c>
      <x:c r="K19" s="10" t="n">
        <x:f>(E19-B19)^2</x:f>
        <x:v>0.0014073075192861403</x:v>
      </x:c>
    </x:row>
    <x:row r="20" ht="21" customHeight="1">
      <x:c r="A20" s="15" t="n">
        <x:v>46082</x:v>
      </x:c>
      <x:c r="B20" s="11" t="n">
        <x:v>0.0368</x:v>
      </x:c>
      <x:c r="C20" s="11" t="n">
        <x:v>0.03458585893926065</x:v>
      </x:c>
      <x:c r="D20" s="11" t="n">
        <x:v>0.03460229304577328</x:v>
      </x:c>
      <x:c r="E20" s="11" t="n">
        <x:v>0.034786941354963144</x:v>
      </x:c>
      <x:c r="F20" s="10" t="n">
        <x:v>2.3712526117068453</x:v>
      </x:c>
      <x:c r="G20" s="10" t="n">
        <x:v>2.46396307859221</x:v>
      </x:c>
      <x:c r="H20" s="10" t="n">
        <x:v>2.070587142044647</x:v>
      </x:c>
      <x:c r="I20" s="10" t="n">
        <x:f>(C20-B20)^2</x:f>
        <x:v>0.00000490242063685196</x:v>
      </x:c>
      <x:c r="J20" s="10" t="n">
        <x:f>(D20-B20)^2</x:f>
        <x:v>0.000004829915856656483</x:v>
      </x:c>
      <x:c r="K20" s="10" t="n">
        <x:f>(E20-B20)^2</x:f>
        <x:v>0.0000040524051083576205</x:v>
      </x:c>
    </x:row>
    <x:row r="21" ht="21" customHeight="1">
      <x:c r="A21" s="15" t="n">
        <x:v>46113</x:v>
      </x:c>
      <x:c r="B21" s="11" t="n">
        <x:v>0.0295</x:v>
      </x:c>
      <x:c r="C21" s="11" t="n">
        <x:v>0.03460582195620917</x:v>
      </x:c>
      <x:c r="D21" s="11" t="n">
        <x:v>0.03462230725525662</x:v>
      </x:c>
      <x:c r="E21" s="11" t="n">
        <x:v>0.031909472357986954</x:v>
      </x:c>
      <x:c r="F21" s="10" t="n">
        <x:v>2.371999702966914</x:v>
      </x:c>
      <x:c r="G21" s="10" t="n">
        <x:v>2.959970024731566</x:v>
      </x:c>
      <x:c r="H21" s="10" t="n">
        <x:v>2.794079325929895</x:v>
      </x:c>
      <x:c r="I21" s="10" t="n">
        <x:f>(C21-B21)^2</x:f>
        <x:v>0.000026069417848507643</x:v>
      </x:c>
      <x:c r="J21" s="10" t="n">
        <x:f>(D21-B21)^2</x:f>
        <x:v>0.000026238031617254616</x:v>
      </x:c>
      <x:c r="K21" s="10" t="n">
        <x:f>(E21-B21)^2</x:f>
        <x:v>0.000005805557043903218</x:v>
      </x:c>
    </x:row>
    <x:row r="22" ht="21" customHeight="1">
      <x:c r="A22" s="15" t="n">
        <x:v>46143</x:v>
      </x:c>
      <x:c r="B22" s="11" t="n">
        <x:v>0.0764</x:v>
      </x:c>
      <x:c r="C22" s="11" t="n">
        <x:v>0.034560205624791215</x:v>
      </x:c>
      <x:c r="D22" s="11" t="n">
        <x:v>0.03457661256099291</x:v>
      </x:c>
      <x:c r="E22" s="11" t="n">
        <x:v>0.027714261212819422</x:v>
      </x:c>
      <x:c r="F22" s="10" t="n">
        <x:v>1.7830464448549868</x:v>
      </x:c>
      <x:c r="G22" s="10" t="n">
        <x:v>0.6141547423433514</x:v>
      </x:c>
      <x:c r="H22" s="10" t="n">
        <x:v>0.4311518718214574</x:v>
      </x:c>
      <x:c r="I22" s="10" t="n">
        <x:f>(C22-B22)^2</x:f>
        <x:v>0.0017505683933597522</x:v>
      </x:c>
      <x:c r="J22" s="10" t="n">
        <x:f>(D22-B22)^2</x:f>
        <x:v>0.0017491957368732955</x:v>
      </x:c>
      <x:c r="K22" s="10" t="n">
        <x:f>(E22-B22)^2</x:f>
        <x:v>0.002370301161253579</x:v>
      </x:c>
    </x:row>
    <x:row r="23" ht="21" customHeight="1">
      <x:c r="A23" s="15" t="n">
        <x:v>46174</x:v>
      </x:c>
      <x:c r="B23" s="11" t="n">
        <x:v>0.0639</x:v>
      </x:c>
      <x:c r="C23" s="11" t="n">
        <x:v>0.034930621681013206</x:v>
      </x:c>
      <x:c r="D23" s="11" t="n">
        <x:v>0.03494628893913215</x:v>
      </x:c>
      <x:c r="E23" s="11" t="n">
        <x:v>0.054374282814801805</x:v>
      </x:c>
      <x:c r="F23" s="10" t="n">
        <x:v>2.087479184271749</x:v>
      </x:c>
      <x:c r="G23" s="10" t="n">
        <x:v>0.7483150607727287</x:v>
      </x:c>
      <x:c r="H23" s="10" t="n">
        <x:v>2.091476637145957</x:v>
      </x:c>
      <x:c r="I23" s="10" t="n">
        <x:f>(C23-B23)^2</x:f>
        <x:v>0.000839224880188582</x:v>
      </x:c>
      <x:c r="J23" s="10" t="n">
        <x:f>(D23-B23)^2</x:f>
        <x:v>0.000838317384196221</x:v>
      </x:c>
      <x:c r="K23" s="10" t="n">
        <x:f>(E23-B23)^2</x:f>
        <x:v>0.00009073928789238018</x:v>
      </x:c>
    </x:row>
    <x:row r="24" ht="21" customHeight="1">
      <x:c r="A24" s="15" t="n">
        <x:v>46204</x:v>
      </x:c>
      <x:c r="B24" s="11" t="n">
        <x:v>0.0339</x:v>
      </x:c>
      <x:c r="C24" s="11" t="n">
        <x:v>0.03518487851006103</x:v>
      </x:c>
      <x:c r="D24" s="11" t="n">
        <x:v>0.035199807216299145</x:v>
      </x:c>
      <x:c r="E24" s="11" t="n">
        <x:v>0.05420464389287347</x:v>
      </x:c>
      <x:c r="F24" s="10" t="n">
        <x:v>2.38394495102537</x:v>
      </x:c>
      <x:c r="G24" s="10" t="n">
        <x:v>2.6832955405992203</x:v>
      </x:c>
      <x:c r="H24" s="10" t="n">
        <x:v>2.109360149294342</x:v>
      </x:c>
      <x:c r="I24" s="10" t="n">
        <x:f>(C24-B24)^2</x:f>
        <x:v>0.0000016509127856166557</x:v>
      </x:c>
      <x:c r="J24" s="10" t="n">
        <x:f>(D24-B24)^2</x:f>
        <x:v>0.0000016894987995433332</x:v>
      </x:c>
      <x:c r="K24" s="10" t="n">
        <x:f>(E24-B24)^2</x:f>
        <x:v>0.00041227856361640406</x:v>
      </x:c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30" customHeight="1">
      <x:c r="A27" s="7" t="str">
        <x:v>Score summary</x:v>
      </x:c>
      <x:c r="B27" s="7" t="str">
        <x:v>One regime</x:v>
      </x:c>
      <x:c r="C27" s="7" t="str">
        <x:v>Mixture</x:v>
      </x:c>
      <x:c r="D27" s="7" t="str">
        <x:v>Switching</x:v>
      </x:c>
      <x:c r="E27" s="2"/>
      <x:c r="F27" s="2"/>
      <x:c r="G27" s="2"/>
      <x:c r="H27" s="2"/>
      <x:c r="I27" s="2"/>
      <x:c r="J27" s="2"/>
      <x:c r="K27" s="2"/>
    </x:row>
    <x:row r="28" ht="21" customHeight="1">
      <x:c r="A28" s="2" t="str">
        <x:v>Total log score</x:v>
      </x:c>
      <x:c r="B28" s="8" t="n">
        <x:f>SUM(F6:F24)</x:f>
        <x:v>24.149597441893047</x:v>
      </x:c>
      <x:c r="C28" s="8" t="n">
        <x:f>SUM(G6:G24)</x:f>
        <x:v>32.992498212754285</x:v>
      </x:c>
      <x:c r="D28" s="8" t="n">
        <x:f>SUM(H6:H24)</x:f>
        <x:v>26.90317210096123</x:v>
      </x:c>
      <x:c r="E28" s="2"/>
      <x:c r="F28" s="2"/>
      <x:c r="G28" s="2"/>
      <x:c r="H28" s="2"/>
      <x:c r="I28" s="2"/>
      <x:c r="J28" s="2"/>
      <x:c r="K28" s="2"/>
    </x:row>
    <x:row r="29" ht="21" customHeight="1">
      <x:c r="A29" s="2" t="str">
        <x:v>Mean forecast RMSE</x:v>
      </x:c>
      <x:c r="B29" s="11" t="n">
        <x:f>SQRT(AVERAGE(I6:I24))</x:f>
        <x:v>0.05655775721888387</x:v>
      </x:c>
      <x:c r="C29" s="11" t="n">
        <x:f>SQRT(AVERAGE(J6:J24))</x:f>
        <x:v>0.056552990890723055</x:v>
      </x:c>
      <x:c r="D29" s="11" t="n">
        <x:f>SQRT(AVERAGE(K6:K24))</x:f>
        <x:v>0.05494979543604607</x:v>
      </x:c>
      <x:c r="E29" s="2"/>
      <x:c r="F29" s="2"/>
      <x:c r="G29" s="2"/>
      <x:c r="H29" s="2"/>
      <x:c r="I29" s="2"/>
      <x:c r="J29" s="2"/>
      <x:c r="K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1" customHeight="1">
      <x:c r="A31" s="2" t="str">
        <x:v>Higher log scores and lower RMSE are better. Nineteen months is a short validation period.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Sensitivity of the fitted states</x:v>
      </x:c>
      <x:c r="B2" s="2"/>
      <x:c r="C2" s="2"/>
      <x:c r="D2" s="2"/>
      <x:c r="E2" s="2"/>
      <x:c r="F2" s="2"/>
      <x:c r="G2" s="2"/>
      <x:c r="H2" s="2"/>
    </x:row>
    <x:row r="3" ht="21" customHeight="1">
      <x:c r="A3" s="2" t="str">
        <x:v>Hiding an episode removes its returns but retains monthly state transitions through the gap.</x:v>
      </x:c>
      <x:c r="B3" s="2"/>
      <x:c r="C3" s="2"/>
      <x:c r="D3" s="2"/>
      <x:c r="E3" s="2"/>
      <x:c r="F3" s="2"/>
      <x:c r="G3" s="2"/>
      <x:c r="H3" s="2"/>
    </x:row>
    <x:row r="4" ht="21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Alternative sample or bound</x:v>
      </x:c>
      <x:c r="B5" s="7" t="str">
        <x:v>Observed months</x:v>
      </x:c>
      <x:c r="C5" s="7" t="str">
        <x:v>Log likelihood</x:v>
      </x:c>
      <x:c r="D5" s="7" t="str">
        <x:v>Lower mean</x:v>
      </x:c>
      <x:c r="E5" s="7" t="str">
        <x:v>Higher mean</x:v>
      </x:c>
      <x:c r="F5" s="7" t="str">
        <x:v>Lower duration</x:v>
      </x:c>
      <x:c r="G5" s="7" t="str">
        <x:v>Higher duration</x:v>
      </x:c>
      <x:c r="H5" s="7" t="str">
        <x:v>Higher long-run share</x:v>
      </x:c>
    </x:row>
    <x:row r="6" ht="21" customHeight="1">
      <x:c r="A6" s="2" t="str">
        <x:v>Exclude estimated July</x:v>
      </x:c>
      <x:c r="B6" s="2" t="n">
        <x:v>114</x:v>
      </x:c>
      <x:c r="C6" s="8" t="n">
        <x:v>258.9942559428672</x:v>
      </x:c>
      <x:c r="D6" s="11" t="n">
        <x:v>0.015525206056631788</x:v>
      </x:c>
      <x:c r="E6" s="11" t="n">
        <x:v>0.05749045157602936</x:v>
      </x:c>
      <x:c r="F6" s="12" t="n">
        <x:v>13.409230705742413</x:v>
      </x:c>
      <x:c r="G6" s="12" t="n">
        <x:v>12.782477122009839</x:v>
      </x:c>
      <x:c r="H6" s="16" t="n">
        <x:v>0.4880352669658968</x:v>
      </x:c>
    </x:row>
    <x:row r="7" ht="21" customHeight="1">
      <x:c r="A7" s="2" t="str">
        <x:v>Paper sample to May</x:v>
      </x:c>
      <x:c r="B7" s="2" t="n">
        <x:v>113</x:v>
      </x:c>
      <x:c r="C7" s="8" t="n">
        <x:v>256.88787269064363</x:v>
      </x:c>
      <x:c r="D7" s="11" t="n">
        <x:v>0.015696294927720112</x:v>
      </x:c>
      <x:c r="E7" s="11" t="n">
        <x:v>0.05832459996666814</x:v>
      </x:c>
      <x:c r="F7" s="12" t="n">
        <x:v>12.310652977853783</x:v>
      </x:c>
      <x:c r="G7" s="12" t="n">
        <x:v>10.79242387357627</x:v>
      </x:c>
      <x:c r="H7" s="16" t="n">
        <x:v>0.46714227472728304</x:v>
      </x:c>
    </x:row>
    <x:row r="8" ht="21" customHeight="1">
      <x:c r="A8" s="2" t="str">
        <x:v>Half standard deviation floor</x:v>
      </x:c>
      <x:c r="B8" s="2" t="n">
        <x:v>115</x:v>
      </x:c>
      <x:c r="C8" s="8" t="n">
        <x:v>261.1090855761519</x:v>
      </x:c>
      <x:c r="D8" s="11" t="n">
        <x:v>0.015505641540550572</x:v>
      </x:c>
      <x:c r="E8" s="11" t="n">
        <x:v>0.05677421034890822</x:v>
      </x:c>
      <x:c r="F8" s="12" t="n">
        <x:v>13.732402287385101</x:v>
      </x:c>
      <x:c r="G8" s="12" t="n">
        <x:v>13.345655205760183</x:v>
      </x:c>
      <x:c r="H8" s="16" t="n">
        <x:v>0.4928586627433888</x:v>
      </x:c>
    </x:row>
    <x:row r="9" ht="21" customHeight="1">
      <x:c r="A9" s="2" t="str">
        <x:v>Double standard deviation floor</x:v>
      </x:c>
      <x:c r="B9" s="2" t="n">
        <x:v>115</x:v>
      </x:c>
      <x:c r="C9" s="8" t="n">
        <x:v>261.1090855761519</x:v>
      </x:c>
      <x:c r="D9" s="11" t="n">
        <x:v>0.015505641540550572</x:v>
      </x:c>
      <x:c r="E9" s="11" t="n">
        <x:v>0.05677421034890822</x:v>
      </x:c>
      <x:c r="F9" s="12" t="n">
        <x:v>13.732402287385101</x:v>
      </x:c>
      <x:c r="G9" s="12" t="n">
        <x:v>13.345655205760183</x:v>
      </x:c>
      <x:c r="H9" s="16" t="n">
        <x:v>0.4928586627433888</x:v>
      </x:c>
    </x:row>
    <x:row r="10" ht="21" customHeight="1">
      <x:c r="A10" s="2" t="str">
        <x:v>Hide 2018-08 to 2018-10; calendar preserved</x:v>
      </x:c>
      <x:c r="B10" s="2" t="n">
        <x:v>112</x:v>
      </x:c>
      <x:c r="C10" s="8" t="n">
        <x:v>258.30311298856395</x:v>
      </x:c>
      <x:c r="D10" s="11" t="n">
        <x:v>0.015104103397902422</x:v>
      </x:c>
      <x:c r="E10" s="11" t="n">
        <x:v>0.051759092399650306</x:v>
      </x:c>
      <x:c r="F10" s="12" t="n">
        <x:v>16.01318381432341</x:v>
      </x:c>
      <x:c r="G10" s="12" t="n">
        <x:v>18.68596210083579</x:v>
      </x:c>
      <x:c r="H10" s="16" t="n">
        <x:v>0.5385136033758213</x:v>
      </x:c>
    </x:row>
    <x:row r="11" ht="21" customHeight="1">
      <x:c r="A11" s="2" t="str">
        <x:v>Hide 2020-03 to 2020-07; calendar preserved</x:v>
      </x:c>
      <x:c r="B11" s="2" t="n">
        <x:v>110</x:v>
      </x:c>
      <x:c r="C11" s="8" t="n">
        <x:v>259.7764222763408</x:v>
      </x:c>
      <x:c r="D11" s="11" t="n">
        <x:v>0.01543038104462773</x:v>
      </x:c>
      <x:c r="E11" s="11" t="n">
        <x:v>0.05053154853169841</x:v>
      </x:c>
      <x:c r="F11" s="12" t="n">
        <x:v>17.535845929047557</x:v>
      </x:c>
      <x:c r="G11" s="12" t="n">
        <x:v>17.823634539953634</x:v>
      </x:c>
      <x:c r="H11" s="16" t="n">
        <x:v>0.5040694688820212</x:v>
      </x:c>
    </x:row>
    <x:row r="12" ht="21" customHeight="1">
      <x:c r="A12" s="2" t="str">
        <x:v>Hide 2021-01 to 2021-02; calendar preserved</x:v>
      </x:c>
      <x:c r="B12" s="2" t="n">
        <x:v>113</x:v>
      </x:c>
      <x:c r="C12" s="8" t="n">
        <x:v>258.8896797559314</x:v>
      </x:c>
      <x:c r="D12" s="11" t="n">
        <x:v>0.0186044363433982</x:v>
      </x:c>
      <x:c r="E12" s="11" t="n">
        <x:v>0.06937613656840022</x:v>
      </x:c>
      <x:c r="F12" s="12" t="n">
        <x:v>6.681148887603527</x:v>
      </x:c>
      <x:c r="G12" s="12" t="n">
        <x:v>2.872252787128883</x:v>
      </x:c>
      <x:c r="H12" s="16" t="n">
        <x:v>0.300652362888252</x:v>
      </x:c>
    </x:row>
    <x:row r="13" ht="21" customHeight="1">
      <x:c r="A13" s="2" t="str">
        <x:v>Hide 2025-09 to 2025-10; calendar preserved</x:v>
      </x:c>
      <x:c r="B13" s="2" t="n">
        <x:v>113</x:v>
      </x:c>
      <x:c r="C13" s="8" t="n">
        <x:v>266.95515522685895</x:v>
      </x:c>
      <x:c r="D13" s="11" t="n">
        <x:v>0.014725183093771294</x:v>
      </x:c>
      <x:c r="E13" s="11" t="n">
        <x:v>0.04882168726502158</x:v>
      </x:c>
      <x:c r="F13" s="12" t="n">
        <x:v>17.035959146447155</x:v>
      </x:c>
      <x:c r="G13" s="12" t="n">
        <x:v>22.44925377246669</x:v>
      </x:c>
      <x:c r="H13" s="16" t="n">
        <x:v>0.568548378314892</x:v>
      </x:c>
    </x:row>
    <x:row r="14" ht="21" customHeight="1">
      <x:c r="A14" s="2"/>
      <x:c r="B14" s="2"/>
      <x:c r="C14" s="2"/>
      <x:c r="D14" s="2"/>
      <x:c r="E14" s="2"/>
      <x:c r="F14" s="2"/>
      <x:c r="G14" s="2"/>
      <x:c r="H14" s="2"/>
    </x:row>
    <x:row r="15" ht="21" customHeight="1">
      <x:c r="A15" s="2" t="str">
        <x:v>Mean returns remain positive. Precise durations are sensitive to individual episodes.</x:v>
      </x:c>
      <x:c r="B15" s="2"/>
      <x:c r="C15" s="2"/>
      <x:c r="D15" s="2"/>
      <x:c r="E15" s="2"/>
      <x:c r="F15" s="2"/>
      <x:c r="G15" s="2"/>
      <x:c r="H15" s="2"/>
    </x:row>
    <x:row r="16" ht="21" customHeight="1">
      <x:c r="A16" s="2" t="str">
        <x:v>Likelihoods across different samples are not directly comparable.</x:v>
      </x:c>
      <x:c r="B16" s="2"/>
      <x:c r="C16" s="2"/>
      <x:c r="D16" s="2"/>
      <x:c r="E16" s="2"/>
      <x:c r="F16" s="2"/>
      <x:c r="G16" s="2"/>
      <x:c r="H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</x:row>
  </x:sheetData>
  <x:pageMargins left="0.7" right="0.7" top="0.75" bottom="0.75" header="0.3" footer="0.3"/>
</x:worksheet>
</file>