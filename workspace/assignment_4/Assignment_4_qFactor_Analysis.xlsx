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Table 2" sheetId="3" state="visible" r:id="rId3"/>
    <sheet xmlns:r="http://schemas.openxmlformats.org/officeDocument/2006/relationships" name="Regression Details" sheetId="4" state="visible" r:id="rId4"/>
    <sheet xmlns:r="http://schemas.openxmlformats.org/officeDocument/2006/relationships" name="Diagnostics" sheetId="5" state="visible" r:id="rId5"/>
    <sheet xmlns:r="http://schemas.openxmlformats.org/officeDocument/2006/relationships" name="HAC Sensitivity" sheetId="6" state="visible" r:id="rId6"/>
    <sheet xmlns:r="http://schemas.openxmlformats.org/officeDocument/2006/relationships" name="Factor Correlations" sheetId="7" state="visible" r:id="rId7"/>
    <sheet xmlns:r="http://schemas.openxmlformats.org/officeDocument/2006/relationships" name="Fund X Raw" sheetId="8" state="visible" r:id="rId8"/>
    <sheet xmlns:r="http://schemas.openxmlformats.org/officeDocument/2006/relationships" name="q5 Raw" sheetId="9" state="visible" r:id="rId9"/>
    <sheet xmlns:r="http://schemas.openxmlformats.org/officeDocument/2006/relationships" name="Aligned Data" sheetId="10" state="visible" r:id="rId10"/>
    <sheet xmlns:r="http://schemas.openxmlformats.org/officeDocument/2006/relationships" name="QA Checks" sheetId="11" state="visible" r:id="rId11"/>
    <sheet xmlns:r="http://schemas.openxmlformats.org/officeDocument/2006/relationships" name="Sources" sheetId="12" state="visible" r:id="rId12"/>
  </sheets>
  <definedNames>
    <definedName name="_xlnm._FilterDatabase" localSheetId="3" hidden="1">'Regression Details'!$A$4:$G$17</definedName>
    <definedName name="_xlnm._FilterDatabase" localSheetId="7" hidden="1">'Fund X Raw'!$A$4:$C$100</definedName>
    <definedName name="_xlnm._FilterDatabase" localSheetId="8" hidden="1">'q5 Raw'!$A$4:$H$100</definedName>
    <definedName name="_xlnm._FilterDatabase" localSheetId="9" hidden="1">'Aligned Data'!$A$4:$K$100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12">
    <font>
      <name val="Calibri"/>
      <family val="2"/>
      <color theme="1"/>
      <sz val="11"/>
      <scheme val="minor"/>
    </font>
    <font>
      <name val="Aptos Display"/>
      <b val="1"/>
      <color rgb="001F4E78"/>
      <sz val="18"/>
    </font>
    <font>
      <name val="Aptos"/>
      <i val="1"/>
      <color rgb="00404040"/>
      <sz val="10"/>
    </font>
    <font>
      <name val="Aptos"/>
      <b val="1"/>
      <color rgb="001F4E78"/>
      <sz val="11"/>
    </font>
    <font>
      <name val="Aptos"/>
      <b val="1"/>
      <color rgb="001F1F1F"/>
      <sz val="12"/>
    </font>
    <font>
      <name val="Aptos"/>
      <b val="1"/>
      <color rgb="00FFFFFF"/>
      <sz val="10"/>
    </font>
    <font>
      <name val="Aptos"/>
      <color rgb="00000000"/>
      <sz val="10"/>
    </font>
    <font>
      <name val="Aptos"/>
      <i val="1"/>
      <color rgb="00666666"/>
      <sz val="9"/>
    </font>
    <font>
      <name val="Aptos"/>
      <i val="1"/>
      <sz val="9"/>
    </font>
    <font>
      <name val="Aptos"/>
      <color rgb="00FF0000"/>
      <sz val="9"/>
      <u val="single"/>
    </font>
    <font>
      <name val="Aptos"/>
      <b val="1"/>
    </font>
    <font>
      <name val="Aptos"/>
      <color rgb="00FF0000"/>
      <u val="single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top style="medium">
        <color rgb="001F4E78"/>
      </top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164" fontId="6" fillId="0" borderId="3" applyAlignment="1" pivotButton="0" quotePrefix="0" xfId="0">
      <alignment horizontal="right" vertical="center" wrapText="1"/>
    </xf>
    <xf numFmtId="2" fontId="6" fillId="0" borderId="3" applyAlignment="1" pivotButton="0" quotePrefix="0" xfId="0">
      <alignment horizontal="right" vertical="center" wrapText="1"/>
    </xf>
    <xf numFmtId="0" fontId="6" fillId="4" borderId="3" applyAlignment="1" pivotButton="0" quotePrefix="0" xfId="0">
      <alignment horizontal="left" vertical="center" wrapText="1"/>
    </xf>
    <xf numFmtId="164" fontId="6" fillId="4" borderId="3" applyAlignment="1" pivotButton="0" quotePrefix="0" xfId="0">
      <alignment horizontal="right" vertical="center" wrapText="1"/>
    </xf>
    <xf numFmtId="2" fontId="6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vertical="top" wrapText="1"/>
    </xf>
    <xf numFmtId="0" fontId="6" fillId="0" borderId="3" applyAlignment="1" pivotButton="0" quotePrefix="0" xfId="0">
      <alignment horizontal="right" vertical="center" wrapText="1"/>
    </xf>
    <xf numFmtId="0" fontId="6" fillId="4" borderId="3" applyAlignment="1" pivotButton="0" quotePrefix="0" xfId="0">
      <alignment horizontal="right" vertical="center" wrapText="1"/>
    </xf>
    <xf numFmtId="0" fontId="8" fillId="0" borderId="0" applyAlignment="1" pivotButton="0" quotePrefix="0" xfId="0">
      <alignment vertical="top" wrapText="1"/>
    </xf>
    <xf numFmtId="165" fontId="6" fillId="0" borderId="3" applyAlignment="1" pivotButton="0" quotePrefix="0" xfId="0">
      <alignment horizontal="right" vertical="center" wrapText="1"/>
    </xf>
    <xf numFmtId="165" fontId="6" fillId="4" borderId="3" applyAlignment="1" pivotButton="0" quotePrefix="0" xfId="0">
      <alignment horizontal="right" vertical="center" wrapText="1"/>
    </xf>
    <xf numFmtId="166" fontId="6" fillId="0" borderId="3" applyAlignment="1" pivotButton="0" quotePrefix="0" xfId="0">
      <alignment horizontal="right" vertical="center" wrapText="1"/>
    </xf>
    <xf numFmtId="166" fontId="6" fillId="4" borderId="3" applyAlignment="1" pivotButton="0" quotePrefix="0" xfId="0">
      <alignment horizontal="right" vertical="center" wrapText="1"/>
    </xf>
    <xf numFmtId="0" fontId="6" fillId="5" borderId="3" applyAlignment="1" pivotButton="0" quotePrefix="0" xfId="0">
      <alignment horizontal="right" vertical="center" wrapText="1"/>
    </xf>
    <xf numFmtId="0" fontId="1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Harman Singh</author>
  </authors>
  <commentList>
    <comment ref="D4" authorId="0" shapeId="0">
      <text>
        <t>Annual alpha is compounded, not multiplied by 12.</t>
      </text>
    </comment>
  </commentList>
</comments>
</file>

<file path=xl/comments/comment2.xml><?xml version="1.0" encoding="utf-8"?>
<comments xmlns="http://schemas.openxmlformats.org/spreadsheetml/2006/main">
  <authors>
    <author>Harman Singh</author>
  </authors>
  <commentList>
    <comment ref="D4" authorId="0" shapeId="0">
      <text>
        <t>Formula-driven excess return: Fund X raw monthly return minus the q5 file's R_F.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global-q.org/uploads/1/2/2/6/122679606/q5_factors_monthly_2024.csv" TargetMode="External" Id="rId1"/><Relationship Type="http://schemas.openxmlformats.org/officeDocument/2006/relationships/hyperlink" Target="https://global-q.org/uploads/1/2/2/6/122679606/q5_factors_monthly_2024.csv" TargetMode="External" Id="rId2"/><Relationship Type="http://schemas.openxmlformats.org/officeDocument/2006/relationships/hyperlink" Target="https://global-q.org/uploads/1/2/2/6/122679606/q5_factors_monthly_2024.csv" TargetMode="External" Id="rId3"/><Relationship Type="http://schemas.openxmlformats.org/officeDocument/2006/relationships/hyperlink" Target="https://global-q.org/uploads/1/2/2/6/122679606/q5_factors_monthly_2024.csv" TargetMode="External" Id="rId4"/><Relationship Type="http://schemas.openxmlformats.org/officeDocument/2006/relationships/hyperlink" Target="https://global-q.org/uploads/1/2/2/6/122679606/q5_factors_monthly_2024.csv" TargetMode="External" Id="rId5"/><Relationship Type="http://schemas.openxmlformats.org/officeDocument/2006/relationships/hyperlink" Target="https://global-q.org/uploads/1/2/2/6/122679606/q5_factors_monthly_2024.csv" TargetMode="External" Id="rId6"/><Relationship Type="http://schemas.openxmlformats.org/officeDocument/2006/relationships/hyperlink" Target="https://global-q.org/uploads/1/2/2/6/122679606/q5_factors_monthly_2024.csv" TargetMode="External" Id="rId7"/><Relationship Type="http://schemas.openxmlformats.org/officeDocument/2006/relationships/hyperlink" Target="https://global-q.org/uploads/1/2/2/6/122679606/q5_factors_monthly_2024.csv" TargetMode="External" Id="rId8"/><Relationship Type="http://schemas.openxmlformats.org/officeDocument/2006/relationships/hyperlink" Target="https://global-q.org/uploads/1/2/2/6/122679606/q5_factors_monthly_2024.csv" TargetMode="External" Id="rId9"/><Relationship Type="http://schemas.openxmlformats.org/officeDocument/2006/relationships/hyperlink" Target="https://global-q.org/uploads/1/2/2/6/122679606/q5_factors_monthly_2024.csv" TargetMode="External" Id="rId10"/><Relationship Type="http://schemas.openxmlformats.org/officeDocument/2006/relationships/hyperlink" Target="https://global-q.org/uploads/1/2/2/6/122679606/q5_factors_monthly_2024.csv" TargetMode="External" Id="rId11"/><Relationship Type="http://schemas.openxmlformats.org/officeDocument/2006/relationships/hyperlink" Target="https://global-q.org/uploads/1/2/2/6/122679606/q5_factors_monthly_2024.csv" TargetMode="External" Id="rId12"/><Relationship Type="http://schemas.openxmlformats.org/officeDocument/2006/relationships/hyperlink" Target="https://global-q.org/uploads/1/2/2/6/122679606/q5_factors_monthly_2024.csv" TargetMode="External" Id="rId13"/><Relationship Type="http://schemas.openxmlformats.org/officeDocument/2006/relationships/hyperlink" Target="https://global-q.org/uploads/1/2/2/6/122679606/q5_factors_monthly_2024.csv" TargetMode="External" Id="rId14"/><Relationship Type="http://schemas.openxmlformats.org/officeDocument/2006/relationships/hyperlink" Target="https://global-q.org/uploads/1/2/2/6/122679606/q5_factors_monthly_2024.csv" TargetMode="External" Id="rId15"/><Relationship Type="http://schemas.openxmlformats.org/officeDocument/2006/relationships/hyperlink" Target="https://global-q.org/uploads/1/2/2/6/122679606/q5_factors_monthly_2024.csv" TargetMode="External" Id="rId16"/><Relationship Type="http://schemas.openxmlformats.org/officeDocument/2006/relationships/hyperlink" Target="https://global-q.org/uploads/1/2/2/6/122679606/q5_factors_monthly_2024.csv" TargetMode="External" Id="rId17"/><Relationship Type="http://schemas.openxmlformats.org/officeDocument/2006/relationships/hyperlink" Target="https://global-q.org/uploads/1/2/2/6/122679606/q5_factors_monthly_2024.csv" TargetMode="External" Id="rId18"/><Relationship Type="http://schemas.openxmlformats.org/officeDocument/2006/relationships/hyperlink" Target="https://global-q.org/uploads/1/2/2/6/122679606/q5_factors_monthly_2024.csv" TargetMode="External" Id="rId19"/><Relationship Type="http://schemas.openxmlformats.org/officeDocument/2006/relationships/hyperlink" Target="https://global-q.org/uploads/1/2/2/6/122679606/q5_factors_monthly_2024.csv" TargetMode="External" Id="rId20"/><Relationship Type="http://schemas.openxmlformats.org/officeDocument/2006/relationships/hyperlink" Target="https://global-q.org/uploads/1/2/2/6/122679606/q5_factors_monthly_2024.csv" TargetMode="External" Id="rId21"/><Relationship Type="http://schemas.openxmlformats.org/officeDocument/2006/relationships/hyperlink" Target="https://global-q.org/uploads/1/2/2/6/122679606/q5_factors_monthly_2024.csv" TargetMode="External" Id="rId22"/><Relationship Type="http://schemas.openxmlformats.org/officeDocument/2006/relationships/hyperlink" Target="https://global-q.org/uploads/1/2/2/6/122679606/q5_factors_monthly_2024.csv" TargetMode="External" Id="rId23"/><Relationship Type="http://schemas.openxmlformats.org/officeDocument/2006/relationships/hyperlink" Target="https://global-q.org/uploads/1/2/2/6/122679606/q5_factors_monthly_2024.csv" TargetMode="External" Id="rId24"/><Relationship Type="http://schemas.openxmlformats.org/officeDocument/2006/relationships/hyperlink" Target="https://global-q.org/uploads/1/2/2/6/122679606/q5_factors_monthly_2024.csv" TargetMode="External" Id="rId25"/><Relationship Type="http://schemas.openxmlformats.org/officeDocument/2006/relationships/hyperlink" Target="https://global-q.org/uploads/1/2/2/6/122679606/q5_factors_monthly_2024.csv" TargetMode="External" Id="rId26"/><Relationship Type="http://schemas.openxmlformats.org/officeDocument/2006/relationships/hyperlink" Target="https://global-q.org/uploads/1/2/2/6/122679606/q5_factors_monthly_2024.csv" TargetMode="External" Id="rId27"/><Relationship Type="http://schemas.openxmlformats.org/officeDocument/2006/relationships/hyperlink" Target="https://global-q.org/uploads/1/2/2/6/122679606/q5_factors_monthly_2024.csv" TargetMode="External" Id="rId28"/><Relationship Type="http://schemas.openxmlformats.org/officeDocument/2006/relationships/hyperlink" Target="https://global-q.org/uploads/1/2/2/6/122679606/q5_factors_monthly_2024.csv" TargetMode="External" Id="rId29"/><Relationship Type="http://schemas.openxmlformats.org/officeDocument/2006/relationships/hyperlink" Target="https://global-q.org/uploads/1/2/2/6/122679606/q5_factors_monthly_2024.csv" TargetMode="External" Id="rId30"/><Relationship Type="http://schemas.openxmlformats.org/officeDocument/2006/relationships/hyperlink" Target="https://global-q.org/uploads/1/2/2/6/122679606/q5_factors_monthly_2024.csv" TargetMode="External" Id="rId31"/><Relationship Type="http://schemas.openxmlformats.org/officeDocument/2006/relationships/hyperlink" Target="https://global-q.org/uploads/1/2/2/6/122679606/q5_factors_monthly_2024.csv" TargetMode="External" Id="rId32"/><Relationship Type="http://schemas.openxmlformats.org/officeDocument/2006/relationships/hyperlink" Target="https://global-q.org/uploads/1/2/2/6/122679606/q5_factors_monthly_2024.csv" TargetMode="External" Id="rId33"/><Relationship Type="http://schemas.openxmlformats.org/officeDocument/2006/relationships/hyperlink" Target="https://global-q.org/uploads/1/2/2/6/122679606/q5_factors_monthly_2024.csv" TargetMode="External" Id="rId34"/><Relationship Type="http://schemas.openxmlformats.org/officeDocument/2006/relationships/hyperlink" Target="https://global-q.org/uploads/1/2/2/6/122679606/q5_factors_monthly_2024.csv" TargetMode="External" Id="rId35"/><Relationship Type="http://schemas.openxmlformats.org/officeDocument/2006/relationships/hyperlink" Target="https://global-q.org/uploads/1/2/2/6/122679606/q5_factors_monthly_2024.csv" TargetMode="External" Id="rId36"/><Relationship Type="http://schemas.openxmlformats.org/officeDocument/2006/relationships/hyperlink" Target="https://global-q.org/uploads/1/2/2/6/122679606/q5_factors_monthly_2024.csv" TargetMode="External" Id="rId37"/><Relationship Type="http://schemas.openxmlformats.org/officeDocument/2006/relationships/hyperlink" Target="https://global-q.org/uploads/1/2/2/6/122679606/q5_factors_monthly_2024.csv" TargetMode="External" Id="rId38"/><Relationship Type="http://schemas.openxmlformats.org/officeDocument/2006/relationships/hyperlink" Target="https://global-q.org/uploads/1/2/2/6/122679606/q5_factors_monthly_2024.csv" TargetMode="External" Id="rId39"/><Relationship Type="http://schemas.openxmlformats.org/officeDocument/2006/relationships/hyperlink" Target="https://global-q.org/uploads/1/2/2/6/122679606/q5_factors_monthly_2024.csv" TargetMode="External" Id="rId40"/><Relationship Type="http://schemas.openxmlformats.org/officeDocument/2006/relationships/hyperlink" Target="https://global-q.org/uploads/1/2/2/6/122679606/q5_factors_monthly_2024.csv" TargetMode="External" Id="rId41"/><Relationship Type="http://schemas.openxmlformats.org/officeDocument/2006/relationships/hyperlink" Target="https://global-q.org/uploads/1/2/2/6/122679606/q5_factors_monthly_2024.csv" TargetMode="External" Id="rId42"/><Relationship Type="http://schemas.openxmlformats.org/officeDocument/2006/relationships/hyperlink" Target="https://global-q.org/uploads/1/2/2/6/122679606/q5_factors_monthly_2024.csv" TargetMode="External" Id="rId43"/><Relationship Type="http://schemas.openxmlformats.org/officeDocument/2006/relationships/hyperlink" Target="https://global-q.org/uploads/1/2/2/6/122679606/q5_factors_monthly_2024.csv" TargetMode="External" Id="rId44"/><Relationship Type="http://schemas.openxmlformats.org/officeDocument/2006/relationships/hyperlink" Target="https://global-q.org/uploads/1/2/2/6/122679606/q5_factors_monthly_2024.csv" TargetMode="External" Id="rId45"/><Relationship Type="http://schemas.openxmlformats.org/officeDocument/2006/relationships/hyperlink" Target="https://global-q.org/uploads/1/2/2/6/122679606/q5_factors_monthly_2024.csv" TargetMode="External" Id="rId46"/><Relationship Type="http://schemas.openxmlformats.org/officeDocument/2006/relationships/hyperlink" Target="https://global-q.org/uploads/1/2/2/6/122679606/q5_factors_monthly_2024.csv" TargetMode="External" Id="rId47"/><Relationship Type="http://schemas.openxmlformats.org/officeDocument/2006/relationships/hyperlink" Target="https://global-q.org/uploads/1/2/2/6/122679606/q5_factors_monthly_2024.csv" TargetMode="External" Id="rId48"/><Relationship Type="http://schemas.openxmlformats.org/officeDocument/2006/relationships/hyperlink" Target="https://global-q.org/uploads/1/2/2/6/122679606/q5_factors_monthly_2024.csv" TargetMode="External" Id="rId49"/><Relationship Type="http://schemas.openxmlformats.org/officeDocument/2006/relationships/hyperlink" Target="https://global-q.org/uploads/1/2/2/6/122679606/q5_factors_monthly_2024.csv" TargetMode="External" Id="rId50"/><Relationship Type="http://schemas.openxmlformats.org/officeDocument/2006/relationships/hyperlink" Target="https://global-q.org/uploads/1/2/2/6/122679606/q5_factors_monthly_2024.csv" TargetMode="External" Id="rId51"/><Relationship Type="http://schemas.openxmlformats.org/officeDocument/2006/relationships/hyperlink" Target="https://global-q.org/uploads/1/2/2/6/122679606/q5_factors_monthly_2024.csv" TargetMode="External" Id="rId52"/><Relationship Type="http://schemas.openxmlformats.org/officeDocument/2006/relationships/hyperlink" Target="https://global-q.org/uploads/1/2/2/6/122679606/q5_factors_monthly_2024.csv" TargetMode="External" Id="rId53"/><Relationship Type="http://schemas.openxmlformats.org/officeDocument/2006/relationships/hyperlink" Target="https://global-q.org/uploads/1/2/2/6/122679606/q5_factors_monthly_2024.csv" TargetMode="External" Id="rId54"/><Relationship Type="http://schemas.openxmlformats.org/officeDocument/2006/relationships/hyperlink" Target="https://global-q.org/uploads/1/2/2/6/122679606/q5_factors_monthly_2024.csv" TargetMode="External" Id="rId55"/><Relationship Type="http://schemas.openxmlformats.org/officeDocument/2006/relationships/hyperlink" Target="https://global-q.org/uploads/1/2/2/6/122679606/q5_factors_monthly_2024.csv" TargetMode="External" Id="rId56"/><Relationship Type="http://schemas.openxmlformats.org/officeDocument/2006/relationships/hyperlink" Target="https://global-q.org/uploads/1/2/2/6/122679606/q5_factors_monthly_2024.csv" TargetMode="External" Id="rId57"/><Relationship Type="http://schemas.openxmlformats.org/officeDocument/2006/relationships/hyperlink" Target="https://global-q.org/uploads/1/2/2/6/122679606/q5_factors_monthly_2024.csv" TargetMode="External" Id="rId58"/><Relationship Type="http://schemas.openxmlformats.org/officeDocument/2006/relationships/hyperlink" Target="https://global-q.org/uploads/1/2/2/6/122679606/q5_factors_monthly_2024.csv" TargetMode="External" Id="rId59"/><Relationship Type="http://schemas.openxmlformats.org/officeDocument/2006/relationships/hyperlink" Target="https://global-q.org/uploads/1/2/2/6/122679606/q5_factors_monthly_2024.csv" TargetMode="External" Id="rId60"/><Relationship Type="http://schemas.openxmlformats.org/officeDocument/2006/relationships/hyperlink" Target="https://global-q.org/uploads/1/2/2/6/122679606/q5_factors_monthly_2024.csv" TargetMode="External" Id="rId61"/><Relationship Type="http://schemas.openxmlformats.org/officeDocument/2006/relationships/hyperlink" Target="https://global-q.org/uploads/1/2/2/6/122679606/q5_factors_monthly_2024.csv" TargetMode="External" Id="rId62"/><Relationship Type="http://schemas.openxmlformats.org/officeDocument/2006/relationships/hyperlink" Target="https://global-q.org/uploads/1/2/2/6/122679606/q5_factors_monthly_2024.csv" TargetMode="External" Id="rId63"/><Relationship Type="http://schemas.openxmlformats.org/officeDocument/2006/relationships/hyperlink" Target="https://global-q.org/uploads/1/2/2/6/122679606/q5_factors_monthly_2024.csv" TargetMode="External" Id="rId64"/><Relationship Type="http://schemas.openxmlformats.org/officeDocument/2006/relationships/hyperlink" Target="https://global-q.org/uploads/1/2/2/6/122679606/q5_factors_monthly_2024.csv" TargetMode="External" Id="rId65"/><Relationship Type="http://schemas.openxmlformats.org/officeDocument/2006/relationships/hyperlink" Target="https://global-q.org/uploads/1/2/2/6/122679606/q5_factors_monthly_2024.csv" TargetMode="External" Id="rId66"/><Relationship Type="http://schemas.openxmlformats.org/officeDocument/2006/relationships/hyperlink" Target="https://global-q.org/uploads/1/2/2/6/122679606/q5_factors_monthly_2024.csv" TargetMode="External" Id="rId67"/><Relationship Type="http://schemas.openxmlformats.org/officeDocument/2006/relationships/hyperlink" Target="https://global-q.org/uploads/1/2/2/6/122679606/q5_factors_monthly_2024.csv" TargetMode="External" Id="rId68"/><Relationship Type="http://schemas.openxmlformats.org/officeDocument/2006/relationships/hyperlink" Target="https://global-q.org/uploads/1/2/2/6/122679606/q5_factors_monthly_2024.csv" TargetMode="External" Id="rId69"/><Relationship Type="http://schemas.openxmlformats.org/officeDocument/2006/relationships/hyperlink" Target="https://global-q.org/uploads/1/2/2/6/122679606/q5_factors_monthly_2024.csv" TargetMode="External" Id="rId70"/><Relationship Type="http://schemas.openxmlformats.org/officeDocument/2006/relationships/hyperlink" Target="https://global-q.org/uploads/1/2/2/6/122679606/q5_factors_monthly_2024.csv" TargetMode="External" Id="rId71"/><Relationship Type="http://schemas.openxmlformats.org/officeDocument/2006/relationships/hyperlink" Target="https://global-q.org/uploads/1/2/2/6/122679606/q5_factors_monthly_2024.csv" TargetMode="External" Id="rId72"/><Relationship Type="http://schemas.openxmlformats.org/officeDocument/2006/relationships/hyperlink" Target="https://global-q.org/uploads/1/2/2/6/122679606/q5_factors_monthly_2024.csv" TargetMode="External" Id="rId73"/><Relationship Type="http://schemas.openxmlformats.org/officeDocument/2006/relationships/hyperlink" Target="https://global-q.org/uploads/1/2/2/6/122679606/q5_factors_monthly_2024.csv" TargetMode="External" Id="rId74"/><Relationship Type="http://schemas.openxmlformats.org/officeDocument/2006/relationships/hyperlink" Target="https://global-q.org/uploads/1/2/2/6/122679606/q5_factors_monthly_2024.csv" TargetMode="External" Id="rId75"/><Relationship Type="http://schemas.openxmlformats.org/officeDocument/2006/relationships/hyperlink" Target="https://global-q.org/uploads/1/2/2/6/122679606/q5_factors_monthly_2024.csv" TargetMode="External" Id="rId76"/><Relationship Type="http://schemas.openxmlformats.org/officeDocument/2006/relationships/hyperlink" Target="https://global-q.org/uploads/1/2/2/6/122679606/q5_factors_monthly_2024.csv" TargetMode="External" Id="rId77"/><Relationship Type="http://schemas.openxmlformats.org/officeDocument/2006/relationships/hyperlink" Target="https://global-q.org/uploads/1/2/2/6/122679606/q5_factors_monthly_2024.csv" TargetMode="External" Id="rId78"/><Relationship Type="http://schemas.openxmlformats.org/officeDocument/2006/relationships/hyperlink" Target="https://global-q.org/uploads/1/2/2/6/122679606/q5_factors_monthly_2024.csv" TargetMode="External" Id="rId79"/><Relationship Type="http://schemas.openxmlformats.org/officeDocument/2006/relationships/hyperlink" Target="https://global-q.org/uploads/1/2/2/6/122679606/q5_factors_monthly_2024.csv" TargetMode="External" Id="rId80"/><Relationship Type="http://schemas.openxmlformats.org/officeDocument/2006/relationships/hyperlink" Target="https://global-q.org/uploads/1/2/2/6/122679606/q5_factors_monthly_2024.csv" TargetMode="External" Id="rId81"/><Relationship Type="http://schemas.openxmlformats.org/officeDocument/2006/relationships/hyperlink" Target="https://global-q.org/uploads/1/2/2/6/122679606/q5_factors_monthly_2024.csv" TargetMode="External" Id="rId82"/><Relationship Type="http://schemas.openxmlformats.org/officeDocument/2006/relationships/hyperlink" Target="https://global-q.org/uploads/1/2/2/6/122679606/q5_factors_monthly_2024.csv" TargetMode="External" Id="rId83"/><Relationship Type="http://schemas.openxmlformats.org/officeDocument/2006/relationships/hyperlink" Target="https://global-q.org/uploads/1/2/2/6/122679606/q5_factors_monthly_2024.csv" TargetMode="External" Id="rId84"/><Relationship Type="http://schemas.openxmlformats.org/officeDocument/2006/relationships/hyperlink" Target="https://global-q.org/uploads/1/2/2/6/122679606/q5_factors_monthly_2024.csv" TargetMode="External" Id="rId85"/><Relationship Type="http://schemas.openxmlformats.org/officeDocument/2006/relationships/hyperlink" Target="https://global-q.org/uploads/1/2/2/6/122679606/q5_factors_monthly_2024.csv" TargetMode="External" Id="rId86"/><Relationship Type="http://schemas.openxmlformats.org/officeDocument/2006/relationships/hyperlink" Target="https://global-q.org/uploads/1/2/2/6/122679606/q5_factors_monthly_2024.csv" TargetMode="External" Id="rId87"/><Relationship Type="http://schemas.openxmlformats.org/officeDocument/2006/relationships/hyperlink" Target="https://global-q.org/uploads/1/2/2/6/122679606/q5_factors_monthly_2024.csv" TargetMode="External" Id="rId88"/><Relationship Type="http://schemas.openxmlformats.org/officeDocument/2006/relationships/hyperlink" Target="https://global-q.org/uploads/1/2/2/6/122679606/q5_factors_monthly_2024.csv" TargetMode="External" Id="rId89"/><Relationship Type="http://schemas.openxmlformats.org/officeDocument/2006/relationships/hyperlink" Target="https://global-q.org/uploads/1/2/2/6/122679606/q5_factors_monthly_2024.csv" TargetMode="External" Id="rId90"/><Relationship Type="http://schemas.openxmlformats.org/officeDocument/2006/relationships/hyperlink" Target="https://global-q.org/uploads/1/2/2/6/122679606/q5_factors_monthly_2024.csv" TargetMode="External" Id="rId91"/><Relationship Type="http://schemas.openxmlformats.org/officeDocument/2006/relationships/hyperlink" Target="https://global-q.org/uploads/1/2/2/6/122679606/q5_factors_monthly_2024.csv" TargetMode="External" Id="rId92"/><Relationship Type="http://schemas.openxmlformats.org/officeDocument/2006/relationships/hyperlink" Target="https://global-q.org/uploads/1/2/2/6/122679606/q5_factors_monthly_2024.csv" TargetMode="External" Id="rId93"/><Relationship Type="http://schemas.openxmlformats.org/officeDocument/2006/relationships/hyperlink" Target="https://global-q.org/uploads/1/2/2/6/122679606/q5_factors_monthly_2024.csv" TargetMode="External" Id="rId94"/><Relationship Type="http://schemas.openxmlformats.org/officeDocument/2006/relationships/hyperlink" Target="https://global-q.org/uploads/1/2/2/6/122679606/q5_factors_monthly_2024.csv" TargetMode="External" Id="rId95"/><Relationship Type="http://schemas.openxmlformats.org/officeDocument/2006/relationships/hyperlink" Target="https://global-q.org/uploads/1/2/2/6/122679606/q5_factors_monthly_2024.csv" TargetMode="External" Id="rId96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hyperlink" Target="https://global-q.org/uploads/1/2/2/6/122679606/q5_factors_monthly_2024.csv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</cols>
  <sheetData>
    <row r="1" ht="27" customHeight="1">
      <c r="A1" s="1" t="inlineStr">
        <is>
          <t>Assignment 4: Fund X Factor Model Analysis</t>
        </is>
      </c>
    </row>
    <row r="2" ht="30" customHeight="1">
      <c r="A2" s="2" t="inlineStr">
        <is>
          <t>CAPM, Hou-Xue-Zhang q-factor, and q5 models | January 2017 to December 2024 | N = 96</t>
        </is>
      </c>
    </row>
    <row r="4">
      <c r="A4" s="3" t="inlineStr">
        <is>
          <t>Headline Result</t>
        </is>
      </c>
    </row>
    <row r="5">
      <c r="A5" s="4" t="inlineStr">
        <is>
          <t>Fund X retains a monthly alpha of 2.97% in the q5 model (Newey-West t = 5.48). The five q5 factors explain little of the month-to-month return variation.</t>
        </is>
      </c>
    </row>
    <row r="6"/>
    <row r="8" ht="30" customHeight="1">
      <c r="A8" s="5" t="inlineStr">
        <is>
          <t>Model</t>
        </is>
      </c>
      <c r="B8" s="5" t="inlineStr">
        <is>
          <t>Monthly alpha (%)</t>
        </is>
      </c>
      <c r="C8" s="5" t="inlineStr">
        <is>
          <t>NW t-stat</t>
        </is>
      </c>
      <c r="D8" s="5" t="inlineStr">
        <is>
          <t>Annual alpha (%)</t>
        </is>
      </c>
      <c r="E8" s="5" t="inlineStr">
        <is>
          <t>R-squared</t>
        </is>
      </c>
      <c r="F8" s="5" t="inlineStr">
        <is>
          <t>Adjusted R-squared</t>
        </is>
      </c>
    </row>
    <row r="9">
      <c r="A9" s="6" t="inlineStr">
        <is>
          <t>CAPM</t>
        </is>
      </c>
      <c r="B9" s="7" t="n">
        <v>3.01484254348939</v>
      </c>
      <c r="C9" s="8" t="n">
        <v>4.93329717453245</v>
      </c>
      <c r="D9" s="8" t="n">
        <v>42.82283079934419</v>
      </c>
      <c r="E9" s="7" t="n">
        <v>0.005705158332540705</v>
      </c>
      <c r="F9" s="7" t="n">
        <v>-0.004872446366049443</v>
      </c>
    </row>
    <row r="10">
      <c r="A10" s="9" t="inlineStr">
        <is>
          <t>q-factor</t>
        </is>
      </c>
      <c r="B10" s="10" t="n">
        <v>3.041387091407733</v>
      </c>
      <c r="C10" s="11" t="n">
        <v>5.240674129972456</v>
      </c>
      <c r="D10" s="11" t="n">
        <v>43.26508299484699</v>
      </c>
      <c r="E10" s="10" t="n">
        <v>0.03986410494524495</v>
      </c>
      <c r="F10" s="10" t="n">
        <v>-0.002339670661557491</v>
      </c>
    </row>
    <row r="11">
      <c r="A11" s="6" t="inlineStr">
        <is>
          <t>q5</t>
        </is>
      </c>
      <c r="B11" s="7" t="n">
        <v>2.965217346361979</v>
      </c>
      <c r="C11" s="8" t="n">
        <v>5.47920460908555</v>
      </c>
      <c r="D11" s="8" t="n">
        <v>41.99939265372947</v>
      </c>
      <c r="E11" s="7" t="n">
        <v>0.06893675279256606</v>
      </c>
      <c r="F11" s="7" t="n">
        <v>0.01721101683659754</v>
      </c>
    </row>
    <row r="14">
      <c r="A14" s="3" t="inlineStr">
        <is>
          <t>Interpretation Boundaries</t>
        </is>
      </c>
    </row>
    <row r="15" ht="32" customHeight="1">
      <c r="A15" s="12" t="inlineStr">
        <is>
          <t>Alpha is unexplained return relative to the specified linear factors; it is not proof that every relevant risk or strategy exposure has been measured.</t>
        </is>
      </c>
    </row>
    <row r="16" ht="32" customHeight="1">
      <c r="A16" s="12" t="inlineStr">
        <is>
          <t>Newey-West corrects coefficient standard errors for heteroskedasticity and serial correlation; it does not repair omitted variables or changing coefficients.</t>
        </is>
      </c>
    </row>
    <row r="17" ht="32" customHeight="1">
      <c r="A17" s="12" t="inlineStr">
        <is>
          <t>Stability diagnostics indicate that the alpha is lower in 2021-2024 than in 2017-2020, although it remains positive in both halves.</t>
        </is>
      </c>
    </row>
  </sheetData>
  <mergeCells count="6">
    <mergeCell ref="A2:F2"/>
    <mergeCell ref="A16:F16"/>
    <mergeCell ref="A1:F1"/>
    <mergeCell ref="A5:F6"/>
    <mergeCell ref="A17:F17"/>
    <mergeCell ref="A15:F15"/>
  </mergeCells>
  <pageMargins left="0.35" right="0.35" top="0.5" bottom="0.5" header="0.5" footer="0.5"/>
  <pageSetup fitToHeight="0" fitToWidth="1"/>
  <headerFooter>
    <oddHeader/>
    <oddFooter>&amp;CPrepared by Harman Singh for Professor Phelim Boyle&amp;RPage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27" customHeight="1">
      <c r="A1" s="1" t="inlineStr">
        <is>
          <t>Table 1: Fund X Factor Regressions</t>
        </is>
      </c>
    </row>
    <row r="2" ht="30" customHeight="1">
      <c r="A2" s="2" t="inlineStr">
        <is>
          <t>Coefficient estimates with Newey-West HAC t-statistics in brackets</t>
        </is>
      </c>
    </row>
    <row r="4" ht="30" customHeight="1">
      <c r="A4" s="5" t="inlineStr">
        <is>
          <t>Statistic</t>
        </is>
      </c>
      <c r="B4" s="5" t="inlineStr">
        <is>
          <t>CAPM</t>
        </is>
      </c>
      <c r="C4" s="5" t="inlineStr">
        <is>
          <t>q-factor</t>
        </is>
      </c>
      <c r="D4" s="5" t="inlineStr">
        <is>
          <t>q5</t>
        </is>
      </c>
    </row>
    <row r="5">
      <c r="A5" s="6" t="inlineStr">
        <is>
          <t>alpha</t>
        </is>
      </c>
      <c r="B5" s="7" t="n">
        <v>3.01484254348939</v>
      </c>
      <c r="C5" s="7" t="n">
        <v>3.041387091407733</v>
      </c>
      <c r="D5" s="7" t="n">
        <v>2.965217346361979</v>
      </c>
    </row>
    <row r="6">
      <c r="A6" s="9" t="inlineStr">
        <is>
          <t>[NW t-stat]</t>
        </is>
      </c>
      <c r="B6" s="10" t="n">
        <v>4.93329717453245</v>
      </c>
      <c r="C6" s="10" t="n">
        <v>5.240674129972456</v>
      </c>
      <c r="D6" s="10" t="n">
        <v>5.47920460908555</v>
      </c>
    </row>
    <row r="7">
      <c r="A7" s="6" t="inlineStr">
        <is>
          <t>beta_MKT</t>
        </is>
      </c>
      <c r="B7" s="7" t="n">
        <v>-0.0564717744833635</v>
      </c>
      <c r="C7" s="7" t="n">
        <v>-0.02234458678698492</v>
      </c>
      <c r="D7" s="7" t="n">
        <v>0.009788608256523638</v>
      </c>
    </row>
    <row r="8">
      <c r="A8" s="9" t="inlineStr">
        <is>
          <t>[NW t-stat]</t>
        </is>
      </c>
      <c r="B8" s="10" t="n">
        <v>-0.504926853765353</v>
      </c>
      <c r="C8" s="10" t="n">
        <v>-0.261637913704149</v>
      </c>
      <c r="D8" s="10" t="n">
        <v>0.1396402583250897</v>
      </c>
    </row>
    <row r="9">
      <c r="A9" s="6" t="inlineStr">
        <is>
          <t>beta_ME</t>
        </is>
      </c>
      <c r="B9" s="13" t="inlineStr">
        <is>
          <t>-</t>
        </is>
      </c>
      <c r="C9" s="7" t="n">
        <v>-0.2215970642432284</v>
      </c>
      <c r="D9" s="7" t="n">
        <v>-0.09322308830940343</v>
      </c>
    </row>
    <row r="10">
      <c r="A10" s="9" t="inlineStr">
        <is>
          <t>[NW t-stat]</t>
        </is>
      </c>
      <c r="B10" s="14" t="inlineStr">
        <is>
          <t>-</t>
        </is>
      </c>
      <c r="C10" s="10" t="n">
        <v>-1.289866228739692</v>
      </c>
      <c r="D10" s="10" t="n">
        <v>-0.6911915693344725</v>
      </c>
    </row>
    <row r="11">
      <c r="A11" s="6" t="inlineStr">
        <is>
          <t>beta_IA</t>
        </is>
      </c>
      <c r="B11" s="13" t="inlineStr">
        <is>
          <t>-</t>
        </is>
      </c>
      <c r="C11" s="7" t="n">
        <v>0.1218811398008024</v>
      </c>
      <c r="D11" s="7" t="n">
        <v>0.2731747813763382</v>
      </c>
    </row>
    <row r="12">
      <c r="A12" s="9" t="inlineStr">
        <is>
          <t>[NW t-stat]</t>
        </is>
      </c>
      <c r="B12" s="14" t="inlineStr">
        <is>
          <t>-</t>
        </is>
      </c>
      <c r="C12" s="10" t="n">
        <v>1.121792222972957</v>
      </c>
      <c r="D12" s="10" t="n">
        <v>1.386557279861051</v>
      </c>
    </row>
    <row r="13">
      <c r="A13" s="6" t="inlineStr">
        <is>
          <t>beta_ROE</t>
        </is>
      </c>
      <c r="B13" s="13" t="inlineStr">
        <is>
          <t>-</t>
        </is>
      </c>
      <c r="C13" s="7" t="n">
        <v>-0.1605416930442012</v>
      </c>
      <c r="D13" s="7" t="n">
        <v>-0.350060927413266</v>
      </c>
    </row>
    <row r="14">
      <c r="A14" s="9" t="inlineStr">
        <is>
          <t>[NW t-stat]</t>
        </is>
      </c>
      <c r="B14" s="14" t="inlineStr">
        <is>
          <t>-</t>
        </is>
      </c>
      <c r="C14" s="10" t="n">
        <v>-1.255671518710807</v>
      </c>
      <c r="D14" s="10" t="n">
        <v>-1.881553448724764</v>
      </c>
    </row>
    <row r="15">
      <c r="A15" s="6" t="inlineStr">
        <is>
          <t>beta_EG</t>
        </is>
      </c>
      <c r="B15" s="13" t="inlineStr">
        <is>
          <t>-</t>
        </is>
      </c>
      <c r="C15" s="13" t="inlineStr">
        <is>
          <t>-</t>
        </is>
      </c>
      <c r="D15" s="7" t="n">
        <v>0.3659132230753569</v>
      </c>
    </row>
    <row r="16">
      <c r="A16" s="9" t="inlineStr">
        <is>
          <t>[NW t-stat]</t>
        </is>
      </c>
      <c r="B16" s="14" t="inlineStr">
        <is>
          <t>-</t>
        </is>
      </c>
      <c r="C16" s="14" t="inlineStr">
        <is>
          <t>-</t>
        </is>
      </c>
      <c r="D16" s="10" t="n">
        <v>1.069818300484201</v>
      </c>
    </row>
    <row r="17">
      <c r="A17" s="6" t="inlineStr">
        <is>
          <t>R-squared</t>
        </is>
      </c>
      <c r="B17" s="7" t="n">
        <v>0.005705158332540705</v>
      </c>
      <c r="C17" s="7" t="n">
        <v>0.03986410494524495</v>
      </c>
      <c r="D17" s="7" t="n">
        <v>0.06893675279256606</v>
      </c>
    </row>
    <row r="18">
      <c r="A18" s="9" t="inlineStr">
        <is>
          <t>Adjusted R-squared</t>
        </is>
      </c>
      <c r="B18" s="10" t="n">
        <v>-0.004872446366049443</v>
      </c>
      <c r="C18" s="10" t="n">
        <v>-0.002339670661557491</v>
      </c>
      <c r="D18" s="10" t="n">
        <v>0.01721101683659754</v>
      </c>
    </row>
    <row r="19">
      <c r="A19" s="6" t="inlineStr">
        <is>
          <t>N</t>
        </is>
      </c>
      <c r="B19" s="13" t="n">
        <v>96</v>
      </c>
      <c r="C19" s="13" t="n">
        <v>96</v>
      </c>
      <c r="D19" s="13" t="n">
        <v>96</v>
      </c>
    </row>
    <row r="21">
      <c r="A21" s="15" t="inlineStr">
        <is>
          <t>Note: Sample: January 2017 - December 2024 (N = 96 monthly observations). Dependent variable: Fund X monthly excess return (r_X - r_f). q5 factor returns (R_MKT, R_ME, R_IA, R_ROE, R_EG) are from Hou, Mo, Xue and Zhang (2021) via global-q.org. Standard errors are Newey-West HAC with L = 4 lags (Newey and West, 1987); t-statistics in brackets. No coefficient is asterisked unless its |t| &gt;= 1.96.</t>
        </is>
      </c>
    </row>
    <row r="22"/>
    <row r="23"/>
  </sheetData>
  <mergeCells count="3">
    <mergeCell ref="A1:D1"/>
    <mergeCell ref="A21:D23"/>
    <mergeCell ref="A2:D2"/>
  </mergeCells>
  <pageMargins left="0.35" right="0.35" top="0.5" bottom="0.5" header="0.5" footer="0.5"/>
  <pageSetup fitToHeight="0" fitToWidth="1"/>
  <headerFooter>
    <oddHeader/>
    <oddFooter>&amp;CPrepared by Harman Singh for Professor Phelim Boyle&amp;RPage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0" customWidth="1" min="4" max="4"/>
    <col width="15" customWidth="1" min="5" max="5"/>
  </cols>
  <sheetData>
    <row r="1" ht="27" customHeight="1">
      <c r="A1" s="1" t="inlineStr">
        <is>
          <t>Table 2: Summary of Alpha Estimates</t>
        </is>
      </c>
    </row>
    <row r="2" ht="30" customHeight="1">
      <c r="A2" s="2" t="inlineStr">
        <is>
          <t>Monthly and compounded annual alpha across the three factor specifications</t>
        </is>
      </c>
    </row>
    <row r="4" ht="30" customHeight="1">
      <c r="A4" s="5" t="inlineStr">
        <is>
          <t>Model</t>
        </is>
      </c>
      <c r="B4" s="5" t="inlineStr">
        <is>
          <t>Monthly alpha (%)</t>
        </is>
      </c>
      <c r="C4" s="5" t="inlineStr">
        <is>
          <t>NW t-stat</t>
        </is>
      </c>
      <c r="D4" s="5" t="inlineStr">
        <is>
          <t>Annual alpha (%)</t>
        </is>
      </c>
      <c r="E4" s="5" t="inlineStr">
        <is>
          <t>R-squared</t>
        </is>
      </c>
    </row>
    <row r="5">
      <c r="A5" s="6" t="inlineStr">
        <is>
          <t>CAPM</t>
        </is>
      </c>
      <c r="B5" s="7" t="n">
        <v>3.01484254348939</v>
      </c>
      <c r="C5" s="8" t="n">
        <v>4.93329717453245</v>
      </c>
      <c r="D5" s="7">
        <f>((1+B5/100)^12-1)*100</f>
        <v/>
      </c>
      <c r="E5" s="7" t="n">
        <v>0.005705158332540705</v>
      </c>
    </row>
    <row r="6">
      <c r="A6" s="9" t="inlineStr">
        <is>
          <t>q-factor</t>
        </is>
      </c>
      <c r="B6" s="10" t="n">
        <v>3.041387091407733</v>
      </c>
      <c r="C6" s="11" t="n">
        <v>5.240674129972456</v>
      </c>
      <c r="D6" s="10">
        <f>((1+B6/100)^12-1)*100</f>
        <v/>
      </c>
      <c r="E6" s="10" t="n">
        <v>0.03986410494524495</v>
      </c>
    </row>
    <row r="7">
      <c r="A7" s="6" t="inlineStr">
        <is>
          <t>q5</t>
        </is>
      </c>
      <c r="B7" s="7" t="n">
        <v>2.965217346361979</v>
      </c>
      <c r="C7" s="8" t="n">
        <v>5.47920460908555</v>
      </c>
      <c r="D7" s="7">
        <f>((1+B7/100)^12-1)*100</f>
        <v/>
      </c>
      <c r="E7" s="7" t="n">
        <v>0.06893675279256606</v>
      </c>
    </row>
    <row r="10">
      <c r="A10" s="15" t="inlineStr">
        <is>
          <t>Note: *** p &lt; 0.001. Annual alpha computed as (1 + monthly_alpha/100)^12 - 1. Sample: January 2017 - December 2024, N = 96. NW t-statistics use L = 4 lags.</t>
        </is>
      </c>
    </row>
    <row r="11"/>
  </sheetData>
  <mergeCells count="3">
    <mergeCell ref="A2:E2"/>
    <mergeCell ref="A1:E1"/>
    <mergeCell ref="A10:E11"/>
  </mergeCells>
  <pageMargins left="0.35" right="0.35" top="0.5" bottom="0.5" header="0.5" footer="0.5"/>
  <pageSetup fitToHeight="0" fitToWidth="1"/>
  <headerFooter>
    <oddHeader/>
    <oddFooter>&amp;CPrepared by Harman Singh for Professor Phelim Boyle&amp;RPage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 ht="27" customHeight="1">
      <c r="A1" s="1" t="inlineStr">
        <is>
          <t>Regression Details</t>
        </is>
      </c>
    </row>
    <row r="2" ht="30" customHeight="1">
      <c r="A2" s="2" t="inlineStr">
        <is>
          <t>Primary coefficient estimates, Newey-West HAC standard errors, t-statistics, and p-values</t>
        </is>
      </c>
    </row>
    <row r="4" ht="30" customHeight="1">
      <c r="A4" s="5" t="inlineStr">
        <is>
          <t>Model</t>
        </is>
      </c>
      <c r="B4" s="5" t="inlineStr">
        <is>
          <t>Coefficient</t>
        </is>
      </c>
      <c r="C4" s="5" t="inlineStr">
        <is>
          <t>Estimate</t>
        </is>
      </c>
      <c r="D4" s="5" t="inlineStr">
        <is>
          <t>NW SE</t>
        </is>
      </c>
      <c r="E4" s="5" t="inlineStr">
        <is>
          <t>NW t-stat</t>
        </is>
      </c>
      <c r="F4" s="5" t="inlineStr">
        <is>
          <t>p-value</t>
        </is>
      </c>
      <c r="G4" s="5" t="inlineStr">
        <is>
          <t>Significant at 5%</t>
        </is>
      </c>
    </row>
    <row r="5">
      <c r="A5" s="6" t="inlineStr">
        <is>
          <t>CAPM</t>
        </is>
      </c>
      <c r="B5" s="13" t="inlineStr">
        <is>
          <t>alpha</t>
        </is>
      </c>
      <c r="C5" s="16" t="n">
        <v>3.01484254348939</v>
      </c>
      <c r="D5" s="16" t="n">
        <v>0.6111212109931569</v>
      </c>
      <c r="E5" s="16" t="n">
        <v>4.93329717453245</v>
      </c>
      <c r="F5" s="16" t="n">
        <v>3.482552899613105e-06</v>
      </c>
      <c r="G5" s="13" t="inlineStr">
        <is>
          <t>YES</t>
        </is>
      </c>
    </row>
    <row r="6">
      <c r="A6" s="9" t="inlineStr">
        <is>
          <t>CAPM</t>
        </is>
      </c>
      <c r="B6" s="14" t="inlineStr">
        <is>
          <t>beta_MKT</t>
        </is>
      </c>
      <c r="C6" s="17" t="n">
        <v>-0.0564717744833635</v>
      </c>
      <c r="D6" s="17" t="n">
        <v>0.11184149557949</v>
      </c>
      <c r="E6" s="17" t="n">
        <v>-0.504926853765353</v>
      </c>
      <c r="F6" s="17" t="n">
        <v>0.6147919493126286</v>
      </c>
      <c r="G6" s="14" t="inlineStr">
        <is>
          <t>NO</t>
        </is>
      </c>
    </row>
    <row r="7">
      <c r="A7" s="6" t="inlineStr">
        <is>
          <t>q-factor</t>
        </is>
      </c>
      <c r="B7" s="13" t="inlineStr">
        <is>
          <t>alpha</t>
        </is>
      </c>
      <c r="C7" s="16" t="n">
        <v>3.041387091407733</v>
      </c>
      <c r="D7" s="16" t="n">
        <v>0.5803427223252513</v>
      </c>
      <c r="E7" s="16" t="n">
        <v>5.240674129972456</v>
      </c>
      <c r="F7" s="16" t="n">
        <v>1.028991789686924e-06</v>
      </c>
      <c r="G7" s="13" t="inlineStr">
        <is>
          <t>YES</t>
        </is>
      </c>
    </row>
    <row r="8">
      <c r="A8" s="9" t="inlineStr">
        <is>
          <t>q-factor</t>
        </is>
      </c>
      <c r="B8" s="14" t="inlineStr">
        <is>
          <t>beta_MKT</t>
        </is>
      </c>
      <c r="C8" s="17" t="n">
        <v>-0.02234458678698492</v>
      </c>
      <c r="D8" s="17" t="n">
        <v>0.08540270968622461</v>
      </c>
      <c r="E8" s="17" t="n">
        <v>-0.261637913704149</v>
      </c>
      <c r="F8" s="17" t="n">
        <v>0.7941918927757635</v>
      </c>
      <c r="G8" s="14" t="inlineStr">
        <is>
          <t>NO</t>
        </is>
      </c>
    </row>
    <row r="9">
      <c r="A9" s="6" t="inlineStr">
        <is>
          <t>q-factor</t>
        </is>
      </c>
      <c r="B9" s="13" t="inlineStr">
        <is>
          <t>beta_ME</t>
        </is>
      </c>
      <c r="C9" s="16" t="n">
        <v>-0.2215970642432284</v>
      </c>
      <c r="D9" s="16" t="n">
        <v>0.1717984852272219</v>
      </c>
      <c r="E9" s="16" t="n">
        <v>-1.289866228739692</v>
      </c>
      <c r="F9" s="16" t="n">
        <v>0.2003654976814941</v>
      </c>
      <c r="G9" s="13" t="inlineStr">
        <is>
          <t>NO</t>
        </is>
      </c>
    </row>
    <row r="10">
      <c r="A10" s="9" t="inlineStr">
        <is>
          <t>q-factor</t>
        </is>
      </c>
      <c r="B10" s="14" t="inlineStr">
        <is>
          <t>beta_IA</t>
        </is>
      </c>
      <c r="C10" s="17" t="n">
        <v>0.1218811398008024</v>
      </c>
      <c r="D10" s="17" t="n">
        <v>0.1086485868816195</v>
      </c>
      <c r="E10" s="17" t="n">
        <v>1.121792222972957</v>
      </c>
      <c r="F10" s="17" t="n">
        <v>0.264902154871263</v>
      </c>
      <c r="G10" s="14" t="inlineStr">
        <is>
          <t>NO</t>
        </is>
      </c>
    </row>
    <row r="11">
      <c r="A11" s="6" t="inlineStr">
        <is>
          <t>q-factor</t>
        </is>
      </c>
      <c r="B11" s="13" t="inlineStr">
        <is>
          <t>beta_ROE</t>
        </is>
      </c>
      <c r="C11" s="16" t="n">
        <v>-0.1605416930442012</v>
      </c>
      <c r="D11" s="16" t="n">
        <v>0.1278532567251575</v>
      </c>
      <c r="E11" s="16" t="n">
        <v>-1.255671518710807</v>
      </c>
      <c r="F11" s="16" t="n">
        <v>0.2124496602905654</v>
      </c>
      <c r="G11" s="13" t="inlineStr">
        <is>
          <t>NO</t>
        </is>
      </c>
    </row>
    <row r="12">
      <c r="A12" s="9" t="inlineStr">
        <is>
          <t>q5</t>
        </is>
      </c>
      <c r="B12" s="14" t="inlineStr">
        <is>
          <t>alpha</t>
        </is>
      </c>
      <c r="C12" s="17" t="n">
        <v>2.965217346361979</v>
      </c>
      <c r="D12" s="17" t="n">
        <v>0.5411766046197822</v>
      </c>
      <c r="E12" s="17" t="n">
        <v>5.47920460908555</v>
      </c>
      <c r="F12" s="17" t="n">
        <v>3.85105650456033e-07</v>
      </c>
      <c r="G12" s="14" t="inlineStr">
        <is>
          <t>YES</t>
        </is>
      </c>
    </row>
    <row r="13">
      <c r="A13" s="6" t="inlineStr">
        <is>
          <t>q5</t>
        </is>
      </c>
      <c r="B13" s="13" t="inlineStr">
        <is>
          <t>beta_MKT</t>
        </is>
      </c>
      <c r="C13" s="16" t="n">
        <v>0.009788608256523638</v>
      </c>
      <c r="D13" s="16" t="n">
        <v>0.07009875500040436</v>
      </c>
      <c r="E13" s="16" t="n">
        <v>0.1396402583250897</v>
      </c>
      <c r="F13" s="16" t="n">
        <v>0.8892562495704764</v>
      </c>
      <c r="G13" s="13" t="inlineStr">
        <is>
          <t>NO</t>
        </is>
      </c>
    </row>
    <row r="14">
      <c r="A14" s="9" t="inlineStr">
        <is>
          <t>q5</t>
        </is>
      </c>
      <c r="B14" s="14" t="inlineStr">
        <is>
          <t>beta_ME</t>
        </is>
      </c>
      <c r="C14" s="17" t="n">
        <v>-0.09322308830940343</v>
      </c>
      <c r="D14" s="17" t="n">
        <v>0.1348730112538339</v>
      </c>
      <c r="E14" s="17" t="n">
        <v>-0.6911915693344725</v>
      </c>
      <c r="F14" s="17" t="n">
        <v>0.4912241869356296</v>
      </c>
      <c r="G14" s="14" t="inlineStr">
        <is>
          <t>NO</t>
        </is>
      </c>
    </row>
    <row r="15">
      <c r="A15" s="6" t="inlineStr">
        <is>
          <t>q5</t>
        </is>
      </c>
      <c r="B15" s="13" t="inlineStr">
        <is>
          <t>beta_IA</t>
        </is>
      </c>
      <c r="C15" s="16" t="n">
        <v>0.2731747813763382</v>
      </c>
      <c r="D15" s="16" t="n">
        <v>0.1970165858591239</v>
      </c>
      <c r="E15" s="16" t="n">
        <v>1.386557279861051</v>
      </c>
      <c r="F15" s="16" t="n">
        <v>0.1690019118868501</v>
      </c>
      <c r="G15" s="13" t="inlineStr">
        <is>
          <t>NO</t>
        </is>
      </c>
    </row>
    <row r="16">
      <c r="A16" s="9" t="inlineStr">
        <is>
          <t>q5</t>
        </is>
      </c>
      <c r="B16" s="14" t="inlineStr">
        <is>
          <t>beta_ROE</t>
        </is>
      </c>
      <c r="C16" s="17" t="n">
        <v>-0.350060927413266</v>
      </c>
      <c r="D16" s="17" t="n">
        <v>0.1860488883005275</v>
      </c>
      <c r="E16" s="17" t="n">
        <v>-1.881553448724764</v>
      </c>
      <c r="F16" s="17" t="n">
        <v>0.06312896282094789</v>
      </c>
      <c r="G16" s="14" t="inlineStr">
        <is>
          <t>NO</t>
        </is>
      </c>
    </row>
    <row r="17">
      <c r="A17" s="6" t="inlineStr">
        <is>
          <t>q5</t>
        </is>
      </c>
      <c r="B17" s="13" t="inlineStr">
        <is>
          <t>beta_EG</t>
        </is>
      </c>
      <c r="C17" s="16" t="n">
        <v>0.3659132230753569</v>
      </c>
      <c r="D17" s="16" t="n">
        <v>0.3420330563701743</v>
      </c>
      <c r="E17" s="16" t="n">
        <v>1.069818300484201</v>
      </c>
      <c r="F17" s="16" t="n">
        <v>0.2875619140215915</v>
      </c>
      <c r="G17" s="13" t="inlineStr">
        <is>
          <t>NO</t>
        </is>
      </c>
    </row>
  </sheetData>
  <autoFilter ref="A4:G17"/>
  <mergeCells count="2">
    <mergeCell ref="A2:G2"/>
    <mergeCell ref="A1:G1"/>
  </mergeCells>
  <pageMargins left="0.35" right="0.35" top="0.5" bottom="0.5" header="0.5" footer="0.5"/>
  <pageSetup fitToHeight="0" fitToWidth="1"/>
  <headerFooter>
    <oddHeader/>
    <oddFooter>&amp;CPrepared by Harman Singh for Professor Phelim Boyle&amp;RPage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24" customWidth="1" min="4" max="4"/>
    <col width="28" customWidth="1" min="5" max="5"/>
  </cols>
  <sheetData>
    <row r="1" ht="27" customHeight="1">
      <c r="A1" s="1" t="inlineStr">
        <is>
          <t>Assumption-Aware Diagnostics</t>
        </is>
      </c>
    </row>
    <row r="2" ht="30" customHeight="1">
      <c r="A2" s="2" t="inlineStr">
        <is>
          <t>Checks on residual dependence, heteroskedasticity, non-normality, influence, and parameter stability</t>
        </is>
      </c>
    </row>
    <row r="4" ht="30" customHeight="1">
      <c r="A4" s="5" t="inlineStr">
        <is>
          <t>Diagnostic</t>
        </is>
      </c>
      <c r="B4" s="5" t="inlineStr">
        <is>
          <t>Statistic</t>
        </is>
      </c>
      <c r="C4" s="5" t="inlineStr">
        <is>
          <t>p-value</t>
        </is>
      </c>
      <c r="D4" s="5" t="inlineStr">
        <is>
          <t>Interpretation</t>
        </is>
      </c>
      <c r="E4" s="5" t="inlineStr">
        <is>
          <t>Primary Response</t>
        </is>
      </c>
    </row>
    <row r="5">
      <c r="A5" s="6" t="inlineStr">
        <is>
          <t>Ljung-Box Q(12), q5 residuals</t>
        </is>
      </c>
      <c r="B5" s="16" t="n">
        <v>51.38263997830757</v>
      </c>
      <c r="C5" s="16" t="n">
        <v>7.97285108650203e-07</v>
      </c>
      <c r="D5" s="13" t="inlineStr">
        <is>
          <t>Residual serial dependence remains</t>
        </is>
      </c>
      <c r="E5" s="13" t="inlineStr">
        <is>
          <t>Use HAC and lag-sensitivity checks</t>
        </is>
      </c>
    </row>
    <row r="6">
      <c r="A6" s="9" t="inlineStr">
        <is>
          <t>Breusch-Pagan LM</t>
        </is>
      </c>
      <c r="B6" s="17" t="n">
        <v>10.66356535392988</v>
      </c>
      <c r="C6" s="17" t="n">
        <v>0.05847395038287109</v>
      </c>
      <c r="D6" s="14" t="inlineStr">
        <is>
          <t>Borderline heteroskedasticity evidence</t>
        </is>
      </c>
      <c r="E6" s="14" t="inlineStr">
        <is>
          <t>Use heteroskedasticity-robust HAC covariance</t>
        </is>
      </c>
    </row>
    <row r="7">
      <c r="A7" s="6" t="inlineStr">
        <is>
          <t>Jarque-Bera</t>
        </is>
      </c>
      <c r="B7" s="16" t="n">
        <v>214.479893001795</v>
      </c>
      <c r="C7" s="16" t="n">
        <v>2.668597009825978e-47</v>
      </c>
      <c r="D7" s="13" t="inlineStr">
        <is>
          <t>Strong residual non-normality</t>
        </is>
      </c>
      <c r="E7" s="13" t="inlineStr">
        <is>
          <t>Use block bootstrap and influence sensitivity</t>
        </is>
      </c>
    </row>
    <row r="8">
      <c r="A8" s="9" t="inlineStr">
        <is>
          <t>CUSUM parameter stability</t>
        </is>
      </c>
      <c r="B8" s="17" t="n">
        <v>2.169318937784861</v>
      </c>
      <c r="C8" s="17" t="n">
        <v>0.0001634927146877112</v>
      </c>
      <c r="D8" s="14" t="inlineStr">
        <is>
          <t>Constant-parameter specification is rejected</t>
        </is>
      </c>
      <c r="E8" s="14" t="inlineStr">
        <is>
          <t>Report midpoint subperiod alphas</t>
        </is>
      </c>
    </row>
    <row r="9">
      <c r="A9" s="6" t="inlineStr">
        <is>
          <t>Maximum Cook's distance</t>
        </is>
      </c>
      <c r="B9" s="16" t="n">
        <v>1.282410229161587</v>
      </c>
      <c r="C9" s="16" t="inlineStr"/>
      <c r="D9" s="13" t="inlineStr">
        <is>
          <t>Most influential month: 2020-03</t>
        </is>
      </c>
      <c r="E9" s="13" t="inlineStr">
        <is>
          <t>Report exclusion and leave-one-out sensitivity</t>
        </is>
      </c>
    </row>
    <row r="10">
      <c r="A10" s="9" t="inlineStr">
        <is>
          <t>Maximum factor VIF</t>
        </is>
      </c>
      <c r="B10" s="17" t="n">
        <v>3.383450569092479</v>
      </c>
      <c r="C10" s="17" t="inlineStr"/>
      <c r="D10" s="14" t="inlineStr">
        <is>
          <t>Moderate, not severe, factor collinearity</t>
        </is>
      </c>
      <c r="E10" s="14" t="inlineStr">
        <is>
          <t>Interpret individual q5 loadings cautiously</t>
        </is>
      </c>
    </row>
    <row r="13">
      <c r="A13" s="3" t="inlineStr">
        <is>
          <t>Stability and Influence Results</t>
        </is>
      </c>
    </row>
    <row r="14" ht="30" customHeight="1">
      <c r="A14" s="5" t="inlineStr">
        <is>
          <t>Check</t>
        </is>
      </c>
      <c r="B14" s="5" t="inlineStr">
        <is>
          <t>Alpha (%)</t>
        </is>
      </c>
      <c r="C14" s="5" t="inlineStr">
        <is>
          <t>NW t-stat</t>
        </is>
      </c>
      <c r="D14" s="5" t="inlineStr">
        <is>
          <t>Lower / Early</t>
        </is>
      </c>
      <c r="E14" s="5" t="inlineStr">
        <is>
          <t>Upper / Late</t>
        </is>
      </c>
    </row>
    <row r="15">
      <c r="A15" s="6" t="inlineStr">
        <is>
          <t>2017-2020 q5</t>
        </is>
      </c>
      <c r="B15" s="7" t="n">
        <v>3.921994012387263</v>
      </c>
      <c r="C15" s="7" t="n">
        <v>6.010061830165379</v>
      </c>
      <c r="D15" s="13" t="inlineStr"/>
      <c r="E15" s="13" t="inlineStr"/>
    </row>
    <row r="16">
      <c r="A16" s="9" t="inlineStr">
        <is>
          <t>2021-2024 q5</t>
        </is>
      </c>
      <c r="B16" s="10" t="n">
        <v>1.739326116980809</v>
      </c>
      <c r="C16" s="10" t="n">
        <v>3.306962109439912</v>
      </c>
      <c r="D16" s="14" t="inlineStr"/>
      <c r="E16" s="14" t="inlineStr"/>
    </row>
    <row r="17">
      <c r="A17" s="6" t="inlineStr">
        <is>
          <t>Exclude 2020-03</t>
        </is>
      </c>
      <c r="B17" s="7" t="n">
        <v>2.772804313602464</v>
      </c>
      <c r="C17" s="7" t="n">
        <v>5.567766827229812</v>
      </c>
      <c r="D17" s="13" t="inlineStr"/>
      <c r="E17" s="13" t="inlineStr"/>
    </row>
    <row r="18">
      <c r="A18" s="9" t="inlineStr">
        <is>
          <t>Leave-one-out range</t>
        </is>
      </c>
      <c r="B18" s="14" t="inlineStr"/>
      <c r="C18" s="14" t="inlineStr"/>
      <c r="D18" s="10" t="n">
        <v>2.772804313602464</v>
      </c>
      <c r="E18" s="10" t="n">
        <v>3.036063370611961</v>
      </c>
    </row>
    <row r="19">
      <c r="A19" s="6" t="inlineStr">
        <is>
          <t>6-month block-pairs bootstrap 95% CI</t>
        </is>
      </c>
      <c r="B19" s="13" t="inlineStr"/>
      <c r="C19" s="13" t="inlineStr"/>
      <c r="D19" s="7" t="n">
        <v>1.848449015283078</v>
      </c>
      <c r="E19" s="7" t="n">
        <v>4.099960681059594</v>
      </c>
    </row>
  </sheetData>
  <mergeCells count="2">
    <mergeCell ref="A2:E2"/>
    <mergeCell ref="A1:E1"/>
  </mergeCells>
  <pageMargins left="0.35" right="0.35" top="0.5" bottom="0.5" header="0.5" footer="0.5"/>
  <pageSetup fitToHeight="0" fitToWidth="1"/>
  <headerFooter>
    <oddHeader/>
    <oddFooter>&amp;CPrepared by Harman Singh for Professor Phelim Boyle&amp;RPage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5" customWidth="1" min="5" max="5"/>
    <col width="18" customWidth="1" min="6" max="6"/>
    <col width="18" customWidth="1" min="7" max="7"/>
  </cols>
  <sheetData>
    <row r="1" ht="27" customHeight="1">
      <c r="A1" s="1" t="inlineStr">
        <is>
          <t>HAC Lag Sensitivity</t>
        </is>
      </c>
    </row>
    <row r="2" ht="30" customHeight="1">
      <c r="A2" s="2" t="inlineStr">
        <is>
          <t>q5 monthly alpha inference across alternative Bartlett-kernel lag choices</t>
        </is>
      </c>
    </row>
    <row r="4" ht="30" customHeight="1">
      <c r="A4" s="5" t="inlineStr">
        <is>
          <t>Lags</t>
        </is>
      </c>
      <c r="B4" s="5" t="inlineStr">
        <is>
          <t>Monthly alpha (%)</t>
        </is>
      </c>
      <c r="C4" s="5" t="inlineStr">
        <is>
          <t>NW SE</t>
        </is>
      </c>
      <c r="D4" s="5" t="inlineStr">
        <is>
          <t>NW t-stat</t>
        </is>
      </c>
      <c r="E4" s="5" t="inlineStr">
        <is>
          <t>p-value</t>
        </is>
      </c>
      <c r="F4" s="5" t="inlineStr">
        <is>
          <t>95% CI lower</t>
        </is>
      </c>
      <c r="G4" s="5" t="inlineStr">
        <is>
          <t>95% CI upper</t>
        </is>
      </c>
    </row>
    <row r="5">
      <c r="A5" s="6" t="n">
        <v>3</v>
      </c>
      <c r="B5" s="16" t="n">
        <v>2.965217346361979</v>
      </c>
      <c r="C5" s="16" t="n">
        <v>0.5131133464551002</v>
      </c>
      <c r="D5" s="16" t="n">
        <v>5.778873940519201</v>
      </c>
      <c r="E5" s="16" t="n">
        <v>1.066500559881606e-07</v>
      </c>
      <c r="F5" s="16" t="n">
        <v>1.94582812446432</v>
      </c>
      <c r="G5" s="16" t="n">
        <v>3.984606568259639</v>
      </c>
    </row>
    <row r="6">
      <c r="A6" s="9" t="n">
        <v>4</v>
      </c>
      <c r="B6" s="17" t="n">
        <v>2.965217346361979</v>
      </c>
      <c r="C6" s="17" t="n">
        <v>0.5411766046197822</v>
      </c>
      <c r="D6" s="17" t="n">
        <v>5.47920460908555</v>
      </c>
      <c r="E6" s="17" t="n">
        <v>3.85105650456033e-07</v>
      </c>
      <c r="F6" s="17" t="n">
        <v>1.890075563939349</v>
      </c>
      <c r="G6" s="17" t="n">
        <v>4.040359128784609</v>
      </c>
    </row>
    <row r="7">
      <c r="A7" s="6" t="n">
        <v>6</v>
      </c>
      <c r="B7" s="16" t="n">
        <v>2.965217346361979</v>
      </c>
      <c r="C7" s="16" t="n">
        <v>0.5850439591154273</v>
      </c>
      <c r="D7" s="16" t="n">
        <v>5.068366744347413</v>
      </c>
      <c r="E7" s="16" t="n">
        <v>2.128357309834682e-06</v>
      </c>
      <c r="F7" s="16" t="n">
        <v>1.802925407594824</v>
      </c>
      <c r="G7" s="16" t="n">
        <v>4.127509285129134</v>
      </c>
    </row>
    <row r="8">
      <c r="A8" s="9" t="n">
        <v>12</v>
      </c>
      <c r="B8" s="17" t="n">
        <v>2.965217346361979</v>
      </c>
      <c r="C8" s="17" t="n">
        <v>0.6838314713514235</v>
      </c>
      <c r="D8" s="17" t="n">
        <v>4.336181457840718</v>
      </c>
      <c r="E8" s="17" t="n">
        <v>3.773400231202291e-05</v>
      </c>
      <c r="F8" s="17" t="n">
        <v>1.606666772096108</v>
      </c>
      <c r="G8" s="17" t="n">
        <v>4.32376792062785</v>
      </c>
    </row>
    <row r="11">
      <c r="A11" s="15" t="inlineStr">
        <is>
          <t>The assignment requires L = 4. The literal bandwidth expression evaluates to 3.9639, which floors to 3; L = 3 is therefore shown as a sensitivity check. The inference remains statistically strong through L = 12.</t>
        </is>
      </c>
    </row>
    <row r="12"/>
  </sheetData>
  <mergeCells count="3">
    <mergeCell ref="A2:G2"/>
    <mergeCell ref="A1:G1"/>
    <mergeCell ref="A11:G12"/>
  </mergeCells>
  <pageMargins left="0.35" right="0.35" top="0.5" bottom="0.5" header="0.5" footer="0.5"/>
  <pageSetup fitToHeight="0" fitToWidth="1"/>
  <headerFooter>
    <oddHeader/>
    <oddFooter>&amp;CPrepared by Harman Singh for Professor Phelim Boyle&amp;RPage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zoomScale="9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 ht="27" customHeight="1">
      <c r="A1" s="1" t="inlineStr">
        <is>
          <t>Factor Correlations and VIF</t>
        </is>
      </c>
    </row>
    <row r="2" ht="30" customHeight="1">
      <c r="A2" s="2" t="inlineStr">
        <is>
          <t>Correlation and variance-inflation diagnostics for the five-factor q5 specification</t>
        </is>
      </c>
    </row>
    <row r="4" ht="30" customHeight="1">
      <c r="A4" s="5" t="inlineStr">
        <is>
          <t>Factor</t>
        </is>
      </c>
      <c r="B4" s="5" t="inlineStr">
        <is>
          <t>R_MKT</t>
        </is>
      </c>
      <c r="C4" s="5" t="inlineStr">
        <is>
          <t>R_ME</t>
        </is>
      </c>
      <c r="D4" s="5" t="inlineStr">
        <is>
          <t>R_IA</t>
        </is>
      </c>
      <c r="E4" s="5" t="inlineStr">
        <is>
          <t>R_ROE</t>
        </is>
      </c>
      <c r="F4" s="5" t="inlineStr">
        <is>
          <t>R_EG</t>
        </is>
      </c>
      <c r="G4" s="5" t="inlineStr">
        <is>
          <t>VIF</t>
        </is>
      </c>
    </row>
    <row r="5">
      <c r="A5" s="6" t="inlineStr">
        <is>
          <t>R_MKT</t>
        </is>
      </c>
      <c r="B5" s="7" t="n">
        <v>1</v>
      </c>
      <c r="C5" s="7" t="n">
        <v>0.3442188376304618</v>
      </c>
      <c r="D5" s="7" t="n">
        <v>-0.2418394198234398</v>
      </c>
      <c r="E5" s="7" t="n">
        <v>-0.3181043030432469</v>
      </c>
      <c r="F5" s="7" t="n">
        <v>-0.3162837414359351</v>
      </c>
      <c r="G5" s="7" t="n">
        <v>1.34621104883702</v>
      </c>
    </row>
    <row r="6">
      <c r="A6" s="9" t="inlineStr">
        <is>
          <t>R_ME</t>
        </is>
      </c>
      <c r="B6" s="10" t="n">
        <v>0.3442188376304618</v>
      </c>
      <c r="C6" s="10" t="n">
        <v>1</v>
      </c>
      <c r="D6" s="10" t="n">
        <v>0.09389868742832208</v>
      </c>
      <c r="E6" s="10" t="n">
        <v>-0.3918135049034126</v>
      </c>
      <c r="F6" s="10" t="n">
        <v>-0.6183392549715209</v>
      </c>
      <c r="G6" s="10" t="n">
        <v>1.711851726585128</v>
      </c>
    </row>
    <row r="7">
      <c r="A7" s="6" t="inlineStr">
        <is>
          <t>R_IA</t>
        </is>
      </c>
      <c r="B7" s="7" t="n">
        <v>-0.2418394198234398</v>
      </c>
      <c r="C7" s="7" t="n">
        <v>0.09389868742832208</v>
      </c>
      <c r="D7" s="7" t="n">
        <v>1</v>
      </c>
      <c r="E7" s="7" t="n">
        <v>0.09423204923187921</v>
      </c>
      <c r="F7" s="7" t="n">
        <v>-0.3463259049914044</v>
      </c>
      <c r="G7" s="7" t="n">
        <v>1.63786728098904</v>
      </c>
    </row>
    <row r="8">
      <c r="A8" s="9" t="inlineStr">
        <is>
          <t>R_ROE</t>
        </is>
      </c>
      <c r="B8" s="10" t="n">
        <v>-0.3181043030432469</v>
      </c>
      <c r="C8" s="10" t="n">
        <v>-0.3918135049034126</v>
      </c>
      <c r="D8" s="10" t="n">
        <v>0.09423204923187921</v>
      </c>
      <c r="E8" s="10" t="n">
        <v>1</v>
      </c>
      <c r="F8" s="10" t="n">
        <v>0.6347736469126564</v>
      </c>
      <c r="G8" s="10" t="n">
        <v>2.075484707477056</v>
      </c>
    </row>
    <row r="9">
      <c r="A9" s="6" t="inlineStr">
        <is>
          <t>R_EG</t>
        </is>
      </c>
      <c r="B9" s="7" t="n">
        <v>-0.3162837414359351</v>
      </c>
      <c r="C9" s="7" t="n">
        <v>-0.6183392549715209</v>
      </c>
      <c r="D9" s="7" t="n">
        <v>-0.3463259049914044</v>
      </c>
      <c r="E9" s="7" t="n">
        <v>0.6347736469126564</v>
      </c>
      <c r="F9" s="7" t="n">
        <v>1</v>
      </c>
      <c r="G9" s="7" t="n">
        <v>3.383450569092479</v>
      </c>
    </row>
  </sheetData>
  <mergeCells count="2">
    <mergeCell ref="A2:G2"/>
    <mergeCell ref="A1:G1"/>
  </mergeCells>
  <pageMargins left="0.35" right="0.35" top="0.5" bottom="0.5" header="0.5" footer="0.5"/>
  <pageSetup fitToHeight="0" fitToWidth="1"/>
  <headerFooter>
    <oddHeader/>
    <oddFooter>&amp;CPrepared by Harman Singh for Professor Phelim Boyle&amp;RPage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8" customWidth="1" min="3" max="3"/>
  </cols>
  <sheetData>
    <row r="1" ht="27" customHeight="1">
      <c r="A1" s="1" t="inlineStr">
        <is>
          <t>Fund X Raw Returns</t>
        </is>
      </c>
    </row>
    <row r="2" ht="30" customHeight="1">
      <c r="A2" s="2" t="inlineStr">
        <is>
          <t>Net-of-fees monthly returns used in Assignment 4; values are in percent</t>
        </is>
      </c>
    </row>
    <row r="4" ht="30" customHeight="1">
      <c r="A4" s="5" t="inlineStr">
        <is>
          <t>Date</t>
        </is>
      </c>
      <c r="B4" s="5" t="inlineStr">
        <is>
          <t>Fund X return (%)</t>
        </is>
      </c>
      <c r="C4" s="5" t="inlineStr">
        <is>
          <t>Source</t>
        </is>
      </c>
    </row>
    <row r="5">
      <c r="A5" s="6" t="inlineStr">
        <is>
          <t>2017-01</t>
        </is>
      </c>
      <c r="B5" s="18" t="n">
        <v>2.14</v>
      </c>
      <c r="C5" s="13" t="inlineStr">
        <is>
          <t>Fund X net-of-fees series used in the Boyle project workspace</t>
        </is>
      </c>
    </row>
    <row r="6">
      <c r="A6" s="9" t="inlineStr">
        <is>
          <t>2017-02</t>
        </is>
      </c>
      <c r="B6" s="19" t="n">
        <v>3.95</v>
      </c>
      <c r="C6" s="14" t="inlineStr">
        <is>
          <t>Fund X net-of-fees series used in the Boyle project workspace</t>
        </is>
      </c>
    </row>
    <row r="7">
      <c r="A7" s="6" t="inlineStr">
        <is>
          <t>2017-03</t>
        </is>
      </c>
      <c r="B7" s="18" t="n">
        <v>3.43</v>
      </c>
      <c r="C7" s="13" t="inlineStr">
        <is>
          <t>Fund X net-of-fees series used in the Boyle project workspace</t>
        </is>
      </c>
    </row>
    <row r="8">
      <c r="A8" s="9" t="inlineStr">
        <is>
          <t>2017-04</t>
        </is>
      </c>
      <c r="B8" s="19" t="n">
        <v>2.19</v>
      </c>
      <c r="C8" s="14" t="inlineStr">
        <is>
          <t>Fund X net-of-fees series used in the Boyle project workspace</t>
        </is>
      </c>
    </row>
    <row r="9">
      <c r="A9" s="6" t="inlineStr">
        <is>
          <t>2017-05</t>
        </is>
      </c>
      <c r="B9" s="18" t="n">
        <v>8.129999999999999</v>
      </c>
      <c r="C9" s="13" t="inlineStr">
        <is>
          <t>Fund X net-of-fees series used in the Boyle project workspace</t>
        </is>
      </c>
    </row>
    <row r="10">
      <c r="A10" s="9" t="inlineStr">
        <is>
          <t>2017-06</t>
        </is>
      </c>
      <c r="B10" s="19" t="n">
        <v>-0.34999999999999</v>
      </c>
      <c r="C10" s="14" t="inlineStr">
        <is>
          <t>Fund X net-of-fees series used in the Boyle project workspace</t>
        </is>
      </c>
    </row>
    <row r="11">
      <c r="A11" s="6" t="inlineStr">
        <is>
          <t>2017-07</t>
        </is>
      </c>
      <c r="B11" s="18" t="n">
        <v>1.52</v>
      </c>
      <c r="C11" s="13" t="inlineStr">
        <is>
          <t>Fund X net-of-fees series used in the Boyle project workspace</t>
        </is>
      </c>
    </row>
    <row r="12">
      <c r="A12" s="9" t="inlineStr">
        <is>
          <t>2017-08</t>
        </is>
      </c>
      <c r="B12" s="19" t="n">
        <v>-1.26</v>
      </c>
      <c r="C12" s="14" t="inlineStr">
        <is>
          <t>Fund X net-of-fees series used in the Boyle project workspace</t>
        </is>
      </c>
    </row>
    <row r="13">
      <c r="A13" s="6" t="inlineStr">
        <is>
          <t>2017-09</t>
        </is>
      </c>
      <c r="B13" s="18" t="n">
        <v>3.330000000000001</v>
      </c>
      <c r="C13" s="13" t="inlineStr">
        <is>
          <t>Fund X net-of-fees series used in the Boyle project workspace</t>
        </is>
      </c>
    </row>
    <row r="14">
      <c r="A14" s="9" t="inlineStr">
        <is>
          <t>2017-10</t>
        </is>
      </c>
      <c r="B14" s="19" t="n">
        <v>1.77</v>
      </c>
      <c r="C14" s="14" t="inlineStr">
        <is>
          <t>Fund X net-of-fees series used in the Boyle project workspace</t>
        </is>
      </c>
    </row>
    <row r="15">
      <c r="A15" s="6" t="inlineStr">
        <is>
          <t>2017-11</t>
        </is>
      </c>
      <c r="B15" s="18" t="n">
        <v>3.73</v>
      </c>
      <c r="C15" s="13" t="inlineStr">
        <is>
          <t>Fund X net-of-fees series used in the Boyle project workspace</t>
        </is>
      </c>
    </row>
    <row r="16">
      <c r="A16" s="9" t="inlineStr">
        <is>
          <t>2017-12</t>
        </is>
      </c>
      <c r="B16" s="19" t="n">
        <v>7.75</v>
      </c>
      <c r="C16" s="14" t="inlineStr">
        <is>
          <t>Fund X net-of-fees series used in the Boyle project workspace</t>
        </is>
      </c>
    </row>
    <row r="17">
      <c r="A17" s="6" t="inlineStr">
        <is>
          <t>2018-01</t>
        </is>
      </c>
      <c r="B17" s="18" t="n">
        <v>5.2</v>
      </c>
      <c r="C17" s="13" t="inlineStr">
        <is>
          <t>Fund X net-of-fees series used in the Boyle project workspace</t>
        </is>
      </c>
    </row>
    <row r="18">
      <c r="A18" s="9" t="inlineStr">
        <is>
          <t>2018-02</t>
        </is>
      </c>
      <c r="B18" s="19" t="n">
        <v>4.279999999999999</v>
      </c>
      <c r="C18" s="14" t="inlineStr">
        <is>
          <t>Fund X net-of-fees series used in the Boyle project workspace</t>
        </is>
      </c>
    </row>
    <row r="19">
      <c r="A19" s="6" t="inlineStr">
        <is>
          <t>2018-03</t>
        </is>
      </c>
      <c r="B19" s="18" t="n">
        <v>2.1</v>
      </c>
      <c r="C19" s="13" t="inlineStr">
        <is>
          <t>Fund X net-of-fees series used in the Boyle project workspace</t>
        </is>
      </c>
    </row>
    <row r="20">
      <c r="A20" s="9" t="inlineStr">
        <is>
          <t>2018-04</t>
        </is>
      </c>
      <c r="B20" s="19" t="n">
        <v>2.46</v>
      </c>
      <c r="C20" s="14" t="inlineStr">
        <is>
          <t>Fund X net-of-fees series used in the Boyle project workspace</t>
        </is>
      </c>
    </row>
    <row r="21">
      <c r="A21" s="6" t="inlineStr">
        <is>
          <t>2018-05</t>
        </is>
      </c>
      <c r="B21" s="18" t="n">
        <v>4.82</v>
      </c>
      <c r="C21" s="13" t="inlineStr">
        <is>
          <t>Fund X net-of-fees series used in the Boyle project workspace</t>
        </is>
      </c>
    </row>
    <row r="22">
      <c r="A22" s="9" t="inlineStr">
        <is>
          <t>2018-06</t>
        </is>
      </c>
      <c r="B22" s="19" t="n">
        <v>4.54</v>
      </c>
      <c r="C22" s="14" t="inlineStr">
        <is>
          <t>Fund X net-of-fees series used in the Boyle project workspace</t>
        </is>
      </c>
    </row>
    <row r="23">
      <c r="A23" s="6" t="inlineStr">
        <is>
          <t>2018-07</t>
        </is>
      </c>
      <c r="B23" s="18" t="n">
        <v>5.55</v>
      </c>
      <c r="C23" s="13" t="inlineStr">
        <is>
          <t>Fund X net-of-fees series used in the Boyle project workspace</t>
        </is>
      </c>
    </row>
    <row r="24">
      <c r="A24" s="9" t="inlineStr">
        <is>
          <t>2018-08</t>
        </is>
      </c>
      <c r="B24" s="19" t="n">
        <v>6.460000000000001</v>
      </c>
      <c r="C24" s="14" t="inlineStr">
        <is>
          <t>Fund X net-of-fees series used in the Boyle project workspace</t>
        </is>
      </c>
    </row>
    <row r="25">
      <c r="A25" s="6" t="inlineStr">
        <is>
          <t>2018-09</t>
        </is>
      </c>
      <c r="B25" s="18" t="n">
        <v>18.18</v>
      </c>
      <c r="C25" s="13" t="inlineStr">
        <is>
          <t>Fund X net-of-fees series used in the Boyle project workspace</t>
        </is>
      </c>
    </row>
    <row r="26">
      <c r="A26" s="9" t="inlineStr">
        <is>
          <t>2018-10</t>
        </is>
      </c>
      <c r="B26" s="19" t="n">
        <v>7.519999999999991</v>
      </c>
      <c r="C26" s="14" t="inlineStr">
        <is>
          <t>Fund X net-of-fees series used in the Boyle project workspace</t>
        </is>
      </c>
    </row>
    <row r="27">
      <c r="A27" s="6" t="inlineStr">
        <is>
          <t>2018-11</t>
        </is>
      </c>
      <c r="B27" s="18" t="n">
        <v>3.46</v>
      </c>
      <c r="C27" s="13" t="inlineStr">
        <is>
          <t>Fund X net-of-fees series used in the Boyle project workspace</t>
        </is>
      </c>
    </row>
    <row r="28">
      <c r="A28" s="9" t="inlineStr">
        <is>
          <t>2018-12</t>
        </is>
      </c>
      <c r="B28" s="19" t="n">
        <v>7.53</v>
      </c>
      <c r="C28" s="14" t="inlineStr">
        <is>
          <t>Fund X net-of-fees series used in the Boyle project workspace</t>
        </is>
      </c>
    </row>
    <row r="29">
      <c r="A29" s="6" t="inlineStr">
        <is>
          <t>2019-01</t>
        </is>
      </c>
      <c r="B29" s="18" t="n">
        <v>2.49</v>
      </c>
      <c r="C29" s="13" t="inlineStr">
        <is>
          <t>Fund X net-of-fees series used in the Boyle project workspace</t>
        </is>
      </c>
    </row>
    <row r="30">
      <c r="A30" s="9" t="inlineStr">
        <is>
          <t>2019-02</t>
        </is>
      </c>
      <c r="B30" s="19" t="n">
        <v>2.73</v>
      </c>
      <c r="C30" s="14" t="inlineStr">
        <is>
          <t>Fund X net-of-fees series used in the Boyle project workspace</t>
        </is>
      </c>
    </row>
    <row r="31">
      <c r="A31" s="6" t="inlineStr">
        <is>
          <t>2019-03</t>
        </is>
      </c>
      <c r="B31" s="18" t="n">
        <v>3.89</v>
      </c>
      <c r="C31" s="13" t="inlineStr">
        <is>
          <t>Fund X net-of-fees series used in the Boyle project workspace</t>
        </is>
      </c>
    </row>
    <row r="32">
      <c r="A32" s="9" t="inlineStr">
        <is>
          <t>2019-04</t>
        </is>
      </c>
      <c r="B32" s="19" t="n">
        <v>2.33</v>
      </c>
      <c r="C32" s="14" t="inlineStr">
        <is>
          <t>Fund X net-of-fees series used in the Boyle project workspace</t>
        </is>
      </c>
    </row>
    <row r="33">
      <c r="A33" s="6" t="inlineStr">
        <is>
          <t>2019-05</t>
        </is>
      </c>
      <c r="B33" s="18" t="n">
        <v>1.77</v>
      </c>
      <c r="C33" s="13" t="inlineStr">
        <is>
          <t>Fund X net-of-fees series used in the Boyle project workspace</t>
        </is>
      </c>
    </row>
    <row r="34">
      <c r="A34" s="9" t="inlineStr">
        <is>
          <t>2019-06</t>
        </is>
      </c>
      <c r="B34" s="19" t="n">
        <v>2.6</v>
      </c>
      <c r="C34" s="14" t="inlineStr">
        <is>
          <t>Fund X net-of-fees series used in the Boyle project workspace</t>
        </is>
      </c>
    </row>
    <row r="35">
      <c r="A35" s="6" t="inlineStr">
        <is>
          <t>2019-07</t>
        </is>
      </c>
      <c r="B35" s="18" t="n">
        <v>0.73</v>
      </c>
      <c r="C35" s="13" t="inlineStr">
        <is>
          <t>Fund X net-of-fees series used in the Boyle project workspace</t>
        </is>
      </c>
    </row>
    <row r="36">
      <c r="A36" s="9" t="inlineStr">
        <is>
          <t>2019-08</t>
        </is>
      </c>
      <c r="B36" s="19" t="n">
        <v>2.39</v>
      </c>
      <c r="C36" s="14" t="inlineStr">
        <is>
          <t>Fund X net-of-fees series used in the Boyle project workspace</t>
        </is>
      </c>
    </row>
    <row r="37">
      <c r="A37" s="6" t="inlineStr">
        <is>
          <t>2019-09</t>
        </is>
      </c>
      <c r="B37" s="18" t="n">
        <v>3.47</v>
      </c>
      <c r="C37" s="13" t="inlineStr">
        <is>
          <t>Fund X net-of-fees series used in the Boyle project workspace</t>
        </is>
      </c>
    </row>
    <row r="38">
      <c r="A38" s="9" t="inlineStr">
        <is>
          <t>2019-10</t>
        </is>
      </c>
      <c r="B38" s="19" t="n">
        <v>1.39999999999999</v>
      </c>
      <c r="C38" s="14" t="inlineStr">
        <is>
          <t>Fund X net-of-fees series used in the Boyle project workspace</t>
        </is>
      </c>
    </row>
    <row r="39">
      <c r="A39" s="6" t="inlineStr">
        <is>
          <t>2019-11</t>
        </is>
      </c>
      <c r="B39" s="18" t="n">
        <v>1.1</v>
      </c>
      <c r="C39" s="13" t="inlineStr">
        <is>
          <t>Fund X net-of-fees series used in the Boyle project workspace</t>
        </is>
      </c>
    </row>
    <row r="40">
      <c r="A40" s="9" t="inlineStr">
        <is>
          <t>2019-12</t>
        </is>
      </c>
      <c r="B40" s="19" t="n">
        <v>3.08</v>
      </c>
      <c r="C40" s="14" t="inlineStr">
        <is>
          <t>Fund X net-of-fees series used in the Boyle project workspace</t>
        </is>
      </c>
    </row>
    <row r="41">
      <c r="A41" s="6" t="inlineStr">
        <is>
          <t>2020-01</t>
        </is>
      </c>
      <c r="B41" s="18" t="n">
        <v>2</v>
      </c>
      <c r="C41" s="13" t="inlineStr">
        <is>
          <t>Fund X net-of-fees series used in the Boyle project workspace</t>
        </is>
      </c>
    </row>
    <row r="42">
      <c r="A42" s="9" t="inlineStr">
        <is>
          <t>2020-02</t>
        </is>
      </c>
      <c r="B42" s="19" t="n">
        <v>2.71</v>
      </c>
      <c r="C42" s="14" t="inlineStr">
        <is>
          <t>Fund X net-of-fees series used in the Boyle project workspace</t>
        </is>
      </c>
    </row>
    <row r="43">
      <c r="A43" s="6" t="inlineStr">
        <is>
          <t>2020-03</t>
        </is>
      </c>
      <c r="B43" s="18" t="n">
        <v>21.46</v>
      </c>
      <c r="C43" s="13" t="inlineStr">
        <is>
          <t>Fund X net-of-fees series used in the Boyle project workspace</t>
        </is>
      </c>
    </row>
    <row r="44">
      <c r="A44" s="9" t="inlineStr">
        <is>
          <t>2020-04</t>
        </is>
      </c>
      <c r="B44" s="19" t="n">
        <v>5.86</v>
      </c>
      <c r="C44" s="14" t="inlineStr">
        <is>
          <t>Fund X net-of-fees series used in the Boyle project workspace</t>
        </is>
      </c>
    </row>
    <row r="45">
      <c r="A45" s="6" t="inlineStr">
        <is>
          <t>2020-05</t>
        </is>
      </c>
      <c r="B45" s="18" t="n">
        <v>4</v>
      </c>
      <c r="C45" s="13" t="inlineStr">
        <is>
          <t>Fund X net-of-fees series used in the Boyle project workspace</t>
        </is>
      </c>
    </row>
    <row r="46">
      <c r="A46" s="9" t="inlineStr">
        <is>
          <t>2020-06</t>
        </is>
      </c>
      <c r="B46" s="19" t="n">
        <v>6.25</v>
      </c>
      <c r="C46" s="14" t="inlineStr">
        <is>
          <t>Fund X net-of-fees series used in the Boyle project workspace</t>
        </is>
      </c>
    </row>
    <row r="47">
      <c r="A47" s="6" t="inlineStr">
        <is>
          <t>2020-07</t>
        </is>
      </c>
      <c r="B47" s="18" t="n">
        <v>13.9</v>
      </c>
      <c r="C47" s="13" t="inlineStr">
        <is>
          <t>Fund X net-of-fees series used in the Boyle project workspace</t>
        </is>
      </c>
    </row>
    <row r="48">
      <c r="A48" s="9" t="inlineStr">
        <is>
          <t>2020-08</t>
        </is>
      </c>
      <c r="B48" s="19" t="n">
        <v>3.04</v>
      </c>
      <c r="C48" s="14" t="inlineStr">
        <is>
          <t>Fund X net-of-fees series used in the Boyle project workspace</t>
        </is>
      </c>
    </row>
    <row r="49">
      <c r="A49" s="6" t="inlineStr">
        <is>
          <t>2020-09</t>
        </is>
      </c>
      <c r="B49" s="18" t="n">
        <v>4.07</v>
      </c>
      <c r="C49" s="13" t="inlineStr">
        <is>
          <t>Fund X net-of-fees series used in the Boyle project workspace</t>
        </is>
      </c>
    </row>
    <row r="50">
      <c r="A50" s="9" t="inlineStr">
        <is>
          <t>2020-10</t>
        </is>
      </c>
      <c r="B50" s="19" t="n">
        <v>1.92999999999999</v>
      </c>
      <c r="C50" s="14" t="inlineStr">
        <is>
          <t>Fund X net-of-fees series used in the Boyle project workspace</t>
        </is>
      </c>
    </row>
    <row r="51">
      <c r="A51" s="6" t="inlineStr">
        <is>
          <t>2020-11</t>
        </is>
      </c>
      <c r="B51" s="18" t="n">
        <v>5.62</v>
      </c>
      <c r="C51" s="13" t="inlineStr">
        <is>
          <t>Fund X net-of-fees series used in the Boyle project workspace</t>
        </is>
      </c>
    </row>
    <row r="52">
      <c r="A52" s="9" t="inlineStr">
        <is>
          <t>2020-12</t>
        </is>
      </c>
      <c r="B52" s="19" t="n">
        <v>3.7</v>
      </c>
      <c r="C52" s="14" t="inlineStr">
        <is>
          <t>Fund X net-of-fees series used in the Boyle project workspace</t>
        </is>
      </c>
    </row>
    <row r="53">
      <c r="A53" s="6" t="inlineStr">
        <is>
          <t>2021-01</t>
        </is>
      </c>
      <c r="B53" s="18" t="n">
        <v>9.44999999999999</v>
      </c>
      <c r="C53" s="13" t="inlineStr">
        <is>
          <t>Fund X net-of-fees series used in the Boyle project workspace</t>
        </is>
      </c>
    </row>
    <row r="54">
      <c r="A54" s="9" t="inlineStr">
        <is>
          <t>2021-02</t>
        </is>
      </c>
      <c r="B54" s="19" t="n">
        <v>11.38</v>
      </c>
      <c r="C54" s="14" t="inlineStr">
        <is>
          <t>Fund X net-of-fees series used in the Boyle project workspace</t>
        </is>
      </c>
    </row>
    <row r="55">
      <c r="A55" s="6" t="inlineStr">
        <is>
          <t>2021-03</t>
        </is>
      </c>
      <c r="B55" s="18" t="n">
        <v>2.41</v>
      </c>
      <c r="C55" s="13" t="inlineStr">
        <is>
          <t>Fund X net-of-fees series used in the Boyle project workspace</t>
        </is>
      </c>
    </row>
    <row r="56">
      <c r="A56" s="9" t="inlineStr">
        <is>
          <t>2021-04</t>
        </is>
      </c>
      <c r="B56" s="19" t="n">
        <v>3.95999999999999</v>
      </c>
      <c r="C56" s="14" t="inlineStr">
        <is>
          <t>Fund X net-of-fees series used in the Boyle project workspace</t>
        </is>
      </c>
    </row>
    <row r="57">
      <c r="A57" s="6" t="inlineStr">
        <is>
          <t>2021-05</t>
        </is>
      </c>
      <c r="B57" s="18" t="n">
        <v>2.27</v>
      </c>
      <c r="C57" s="13" t="inlineStr">
        <is>
          <t>Fund X net-of-fees series used in the Boyle project workspace</t>
        </is>
      </c>
    </row>
    <row r="58">
      <c r="A58" s="9" t="inlineStr">
        <is>
          <t>2021-06</t>
        </is>
      </c>
      <c r="B58" s="19" t="n">
        <v>2.66</v>
      </c>
      <c r="C58" s="14" t="inlineStr">
        <is>
          <t>Fund X net-of-fees series used in the Boyle project workspace</t>
        </is>
      </c>
    </row>
    <row r="59">
      <c r="A59" s="6" t="inlineStr">
        <is>
          <t>2021-07</t>
        </is>
      </c>
      <c r="B59" s="18" t="n">
        <v>2.66</v>
      </c>
      <c r="C59" s="13" t="inlineStr">
        <is>
          <t>Fund X net-of-fees series used in the Boyle project workspace</t>
        </is>
      </c>
    </row>
    <row r="60">
      <c r="A60" s="9" t="inlineStr">
        <is>
          <t>2021-08</t>
        </is>
      </c>
      <c r="B60" s="19" t="n">
        <v>1.15</v>
      </c>
      <c r="C60" s="14" t="inlineStr">
        <is>
          <t>Fund X net-of-fees series used in the Boyle project workspace</t>
        </is>
      </c>
    </row>
    <row r="61">
      <c r="A61" s="6" t="inlineStr">
        <is>
          <t>2021-09</t>
        </is>
      </c>
      <c r="B61" s="18" t="n">
        <v>1.58</v>
      </c>
      <c r="C61" s="13" t="inlineStr">
        <is>
          <t>Fund X net-of-fees series used in the Boyle project workspace</t>
        </is>
      </c>
    </row>
    <row r="62">
      <c r="A62" s="9" t="inlineStr">
        <is>
          <t>2021-10</t>
        </is>
      </c>
      <c r="B62" s="19" t="n">
        <v>0.8999999999999999</v>
      </c>
      <c r="C62" s="14" t="inlineStr">
        <is>
          <t>Fund X net-of-fees series used in the Boyle project workspace</t>
        </is>
      </c>
    </row>
    <row r="63">
      <c r="A63" s="6" t="inlineStr">
        <is>
          <t>2021-11</t>
        </is>
      </c>
      <c r="B63" s="18" t="n">
        <v>2.1</v>
      </c>
      <c r="C63" s="13" t="inlineStr">
        <is>
          <t>Fund X net-of-fees series used in the Boyle project workspace</t>
        </is>
      </c>
    </row>
    <row r="64">
      <c r="A64" s="9" t="inlineStr">
        <is>
          <t>2021-12</t>
        </is>
      </c>
      <c r="B64" s="19" t="n">
        <v>2.95</v>
      </c>
      <c r="C64" s="14" t="inlineStr">
        <is>
          <t>Fund X net-of-fees series used in the Boyle project workspace</t>
        </is>
      </c>
    </row>
    <row r="65">
      <c r="A65" s="6" t="inlineStr">
        <is>
          <t>2022-01</t>
        </is>
      </c>
      <c r="B65" s="18" t="n">
        <v>1.58</v>
      </c>
      <c r="C65" s="13" t="inlineStr">
        <is>
          <t>Fund X net-of-fees series used in the Boyle project workspace</t>
        </is>
      </c>
    </row>
    <row r="66">
      <c r="A66" s="9" t="inlineStr">
        <is>
          <t>2022-02</t>
        </is>
      </c>
      <c r="B66" s="19" t="n">
        <v>1.52</v>
      </c>
      <c r="C66" s="14" t="inlineStr">
        <is>
          <t>Fund X net-of-fees series used in the Boyle project workspace</t>
        </is>
      </c>
    </row>
    <row r="67">
      <c r="A67" s="6" t="inlineStr">
        <is>
          <t>2022-03</t>
        </is>
      </c>
      <c r="B67" s="18" t="n">
        <v>1.92999999999999</v>
      </c>
      <c r="C67" s="13" t="inlineStr">
        <is>
          <t>Fund X net-of-fees series used in the Boyle project workspace</t>
        </is>
      </c>
    </row>
    <row r="68">
      <c r="A68" s="9" t="inlineStr">
        <is>
          <t>2022-04</t>
        </is>
      </c>
      <c r="B68" s="19" t="n">
        <v>0.11</v>
      </c>
      <c r="C68" s="14" t="inlineStr">
        <is>
          <t>Fund X net-of-fees series used in the Boyle project workspace</t>
        </is>
      </c>
    </row>
    <row r="69">
      <c r="A69" s="6" t="inlineStr">
        <is>
          <t>2022-05</t>
        </is>
      </c>
      <c r="B69" s="18" t="n">
        <v>1.27</v>
      </c>
      <c r="C69" s="13" t="inlineStr">
        <is>
          <t>Fund X net-of-fees series used in the Boyle project workspace</t>
        </is>
      </c>
    </row>
    <row r="70">
      <c r="A70" s="9" t="inlineStr">
        <is>
          <t>2022-06</t>
        </is>
      </c>
      <c r="B70" s="19" t="n">
        <v>-0.32</v>
      </c>
      <c r="C70" s="14" t="inlineStr">
        <is>
          <t>Fund X net-of-fees series used in the Boyle project workspace</t>
        </is>
      </c>
    </row>
    <row r="71">
      <c r="A71" s="6" t="inlineStr">
        <is>
          <t>2022-07</t>
        </is>
      </c>
      <c r="B71" s="18" t="n">
        <v>0.83</v>
      </c>
      <c r="C71" s="13" t="inlineStr">
        <is>
          <t>Fund X net-of-fees series used in the Boyle project workspace</t>
        </is>
      </c>
    </row>
    <row r="72">
      <c r="A72" s="9" t="inlineStr">
        <is>
          <t>2022-08</t>
        </is>
      </c>
      <c r="B72" s="19" t="n">
        <v>0.25</v>
      </c>
      <c r="C72" s="14" t="inlineStr">
        <is>
          <t>Fund X net-of-fees series used in the Boyle project workspace</t>
        </is>
      </c>
    </row>
    <row r="73">
      <c r="A73" s="6" t="inlineStr">
        <is>
          <t>2022-09</t>
        </is>
      </c>
      <c r="B73" s="18" t="n">
        <v>-0.21</v>
      </c>
      <c r="C73" s="13" t="inlineStr">
        <is>
          <t>Fund X net-of-fees series used in the Boyle project workspace</t>
        </is>
      </c>
    </row>
    <row r="74">
      <c r="A74" s="9" t="inlineStr">
        <is>
          <t>2022-10</t>
        </is>
      </c>
      <c r="B74" s="19" t="n">
        <v>0.6999999999999901</v>
      </c>
      <c r="C74" s="14" t="inlineStr">
        <is>
          <t>Fund X net-of-fees series used in the Boyle project workspace</t>
        </is>
      </c>
    </row>
    <row r="75">
      <c r="A75" s="6" t="inlineStr">
        <is>
          <t>2022-11</t>
        </is>
      </c>
      <c r="B75" s="18" t="n">
        <v>0.74</v>
      </c>
      <c r="C75" s="13" t="inlineStr">
        <is>
          <t>Fund X net-of-fees series used in the Boyle project workspace</t>
        </is>
      </c>
    </row>
    <row r="76">
      <c r="A76" s="9" t="inlineStr">
        <is>
          <t>2022-12</t>
        </is>
      </c>
      <c r="B76" s="19" t="n">
        <v>0.70999999999999</v>
      </c>
      <c r="C76" s="14" t="inlineStr">
        <is>
          <t>Fund X net-of-fees series used in the Boyle project workspace</t>
        </is>
      </c>
    </row>
    <row r="77">
      <c r="A77" s="6" t="inlineStr">
        <is>
          <t>2023-01</t>
        </is>
      </c>
      <c r="B77" s="18" t="n">
        <v>1.31</v>
      </c>
      <c r="C77" s="13" t="inlineStr">
        <is>
          <t>Fund X net-of-fees series used in the Boyle project workspace</t>
        </is>
      </c>
    </row>
    <row r="78">
      <c r="A78" s="9" t="inlineStr">
        <is>
          <t>2023-02</t>
        </is>
      </c>
      <c r="B78" s="19" t="n">
        <v>0.34</v>
      </c>
      <c r="C78" s="14" t="inlineStr">
        <is>
          <t>Fund X net-of-fees series used in the Boyle project workspace</t>
        </is>
      </c>
    </row>
    <row r="79">
      <c r="A79" s="6" t="inlineStr">
        <is>
          <t>2023-03</t>
        </is>
      </c>
      <c r="B79" s="18" t="n">
        <v>1.73</v>
      </c>
      <c r="C79" s="13" t="inlineStr">
        <is>
          <t>Fund X net-of-fees series used in the Boyle project workspace</t>
        </is>
      </c>
    </row>
    <row r="80">
      <c r="A80" s="9" t="inlineStr">
        <is>
          <t>2023-04</t>
        </is>
      </c>
      <c r="B80" s="19" t="n">
        <v>0.6999999999999901</v>
      </c>
      <c r="C80" s="14" t="inlineStr">
        <is>
          <t>Fund X net-of-fees series used in the Boyle project workspace</t>
        </is>
      </c>
    </row>
    <row r="81">
      <c r="A81" s="6" t="inlineStr">
        <is>
          <t>2023-05</t>
        </is>
      </c>
      <c r="B81" s="18" t="n">
        <v>2.13</v>
      </c>
      <c r="C81" s="13" t="inlineStr">
        <is>
          <t>Fund X net-of-fees series used in the Boyle project workspace</t>
        </is>
      </c>
    </row>
    <row r="82">
      <c r="A82" s="9" t="inlineStr">
        <is>
          <t>2023-06</t>
        </is>
      </c>
      <c r="B82" s="19" t="n">
        <v>0.62</v>
      </c>
      <c r="C82" s="14" t="inlineStr">
        <is>
          <t>Fund X net-of-fees series used in the Boyle project workspace</t>
        </is>
      </c>
    </row>
    <row r="83">
      <c r="A83" s="6" t="inlineStr">
        <is>
          <t>2023-07</t>
        </is>
      </c>
      <c r="B83" s="18" t="n">
        <v>0.66</v>
      </c>
      <c r="C83" s="13" t="inlineStr">
        <is>
          <t>Fund X net-of-fees series used in the Boyle project workspace</t>
        </is>
      </c>
    </row>
    <row r="84">
      <c r="A84" s="9" t="inlineStr">
        <is>
          <t>2023-08</t>
        </is>
      </c>
      <c r="B84" s="19" t="n">
        <v>0.46</v>
      </c>
      <c r="C84" s="14" t="inlineStr">
        <is>
          <t>Fund X net-of-fees series used in the Boyle project workspace</t>
        </is>
      </c>
    </row>
    <row r="85">
      <c r="A85" s="6" t="inlineStr">
        <is>
          <t>2023-09</t>
        </is>
      </c>
      <c r="B85" s="18" t="n">
        <v>0.9199999999999999</v>
      </c>
      <c r="C85" s="13" t="inlineStr">
        <is>
          <t>Fund X net-of-fees series used in the Boyle project workspace</t>
        </is>
      </c>
    </row>
    <row r="86">
      <c r="A86" s="9" t="inlineStr">
        <is>
          <t>2023-10</t>
        </is>
      </c>
      <c r="B86" s="19" t="n">
        <v>0.29</v>
      </c>
      <c r="C86" s="14" t="inlineStr">
        <is>
          <t>Fund X net-of-fees series used in the Boyle project workspace</t>
        </is>
      </c>
    </row>
    <row r="87">
      <c r="A87" s="6" t="inlineStr">
        <is>
          <t>2023-11</t>
        </is>
      </c>
      <c r="B87" s="18" t="n">
        <v>1.96</v>
      </c>
      <c r="C87" s="13" t="inlineStr">
        <is>
          <t>Fund X net-of-fees series used in the Boyle project workspace</t>
        </is>
      </c>
    </row>
    <row r="88">
      <c r="A88" s="9" t="inlineStr">
        <is>
          <t>2023-12</t>
        </is>
      </c>
      <c r="B88" s="19" t="n">
        <v>0.74</v>
      </c>
      <c r="C88" s="14" t="inlineStr">
        <is>
          <t>Fund X net-of-fees series used in the Boyle project workspace</t>
        </is>
      </c>
    </row>
    <row r="89">
      <c r="A89" s="6" t="inlineStr">
        <is>
          <t>2024-01</t>
        </is>
      </c>
      <c r="B89" s="18" t="n">
        <v>3.25</v>
      </c>
      <c r="C89" s="13" t="inlineStr">
        <is>
          <t>Fund X net-of-fees series used in the Boyle project workspace</t>
        </is>
      </c>
    </row>
    <row r="90">
      <c r="A90" s="9" t="inlineStr">
        <is>
          <t>2024-02</t>
        </is>
      </c>
      <c r="B90" s="19" t="n">
        <v>1.97</v>
      </c>
      <c r="C90" s="14" t="inlineStr">
        <is>
          <t>Fund X net-of-fees series used in the Boyle project workspace</t>
        </is>
      </c>
    </row>
    <row r="91">
      <c r="A91" s="6" t="inlineStr">
        <is>
          <t>2024-03</t>
        </is>
      </c>
      <c r="B91" s="18" t="n">
        <v>1.34</v>
      </c>
      <c r="C91" s="13" t="inlineStr">
        <is>
          <t>Fund X net-of-fees series used in the Boyle project workspace</t>
        </is>
      </c>
    </row>
    <row r="92">
      <c r="A92" s="9" t="inlineStr">
        <is>
          <t>2024-04</t>
        </is>
      </c>
      <c r="B92" s="19" t="n">
        <v>1.87</v>
      </c>
      <c r="C92" s="14" t="inlineStr">
        <is>
          <t>Fund X net-of-fees series used in the Boyle project workspace</t>
        </is>
      </c>
    </row>
    <row r="93">
      <c r="A93" s="6" t="inlineStr">
        <is>
          <t>2024-05</t>
        </is>
      </c>
      <c r="B93" s="18" t="n">
        <v>-2.2</v>
      </c>
      <c r="C93" s="13" t="inlineStr">
        <is>
          <t>Fund X net-of-fees series used in the Boyle project workspace</t>
        </is>
      </c>
    </row>
    <row r="94">
      <c r="A94" s="9" t="inlineStr">
        <is>
          <t>2024-06</t>
        </is>
      </c>
      <c r="B94" s="19" t="n">
        <v>1.65</v>
      </c>
      <c r="C94" s="14" t="inlineStr">
        <is>
          <t>Fund X net-of-fees series used in the Boyle project workspace</t>
        </is>
      </c>
    </row>
    <row r="95">
      <c r="A95" s="6" t="inlineStr">
        <is>
          <t>2024-07</t>
        </is>
      </c>
      <c r="B95" s="18" t="n">
        <v>0.67</v>
      </c>
      <c r="C95" s="13" t="inlineStr">
        <is>
          <t>Fund X net-of-fees series used in the Boyle project workspace</t>
        </is>
      </c>
    </row>
    <row r="96">
      <c r="A96" s="9" t="inlineStr">
        <is>
          <t>2024-08</t>
        </is>
      </c>
      <c r="B96" s="19" t="n">
        <v>0.64</v>
      </c>
      <c r="C96" s="14" t="inlineStr">
        <is>
          <t>Fund X net-of-fees series used in the Boyle project workspace</t>
        </is>
      </c>
    </row>
    <row r="97">
      <c r="A97" s="6" t="inlineStr">
        <is>
          <t>2024-09</t>
        </is>
      </c>
      <c r="B97" s="18" t="n">
        <v>2.69</v>
      </c>
      <c r="C97" s="13" t="inlineStr">
        <is>
          <t>Fund X net-of-fees series used in the Boyle project workspace</t>
        </is>
      </c>
    </row>
    <row r="98">
      <c r="A98" s="9" t="inlineStr">
        <is>
          <t>2024-10</t>
        </is>
      </c>
      <c r="B98" s="19" t="n">
        <v>7.62</v>
      </c>
      <c r="C98" s="14" t="inlineStr">
        <is>
          <t>Fund X net-of-fees series used in the Boyle project workspace</t>
        </is>
      </c>
    </row>
    <row r="99">
      <c r="A99" s="6" t="inlineStr">
        <is>
          <t>2024-11</t>
        </is>
      </c>
      <c r="B99" s="18" t="n">
        <v>4.24</v>
      </c>
      <c r="C99" s="13" t="inlineStr">
        <is>
          <t>Fund X net-of-fees series used in the Boyle project workspace</t>
        </is>
      </c>
    </row>
    <row r="100">
      <c r="A100" s="9" t="inlineStr">
        <is>
          <t>2024-12</t>
        </is>
      </c>
      <c r="B100" s="19" t="n">
        <v>1.02</v>
      </c>
      <c r="C100" s="14" t="inlineStr">
        <is>
          <t>Fund X net-of-fees series used in the Boyle project workspace</t>
        </is>
      </c>
    </row>
  </sheetData>
  <autoFilter ref="A4:C100"/>
  <mergeCells count="2">
    <mergeCell ref="A1:C1"/>
    <mergeCell ref="A2:C2"/>
  </mergeCells>
  <pageMargins left="0.35" right="0.35" top="0.5" bottom="0.5" header="0.5" footer="0.5"/>
  <pageSetup fitToHeight="0" fitToWidth="1"/>
  <headerFooter>
    <oddHeader/>
    <oddFooter>&amp;CPrepared by Harman Singh for Professor Phelim Boyle&amp;RPage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0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5" customWidth="1" min="8" max="8"/>
  </cols>
  <sheetData>
    <row r="1" ht="27" customHeight="1">
      <c r="A1" s="1" t="inlineStr">
        <is>
          <t>Official q5 Factor Inputs</t>
        </is>
      </c>
    </row>
    <row r="2" ht="30" customHeight="1">
      <c r="A2" s="2" t="inlineStr">
        <is>
          <t>Official monthly q5 data filtered to January 2017 through December 2024; values are in percent</t>
        </is>
      </c>
    </row>
    <row r="4" ht="30" customHeight="1">
      <c r="A4" s="5" t="inlineStr">
        <is>
          <t>date</t>
        </is>
      </c>
      <c r="B4" s="5" t="inlineStr">
        <is>
          <t>R_F</t>
        </is>
      </c>
      <c r="C4" s="5" t="inlineStr">
        <is>
          <t>R_MKT</t>
        </is>
      </c>
      <c r="D4" s="5" t="inlineStr">
        <is>
          <t>R_ME</t>
        </is>
      </c>
      <c r="E4" s="5" t="inlineStr">
        <is>
          <t>R_IA</t>
        </is>
      </c>
      <c r="F4" s="5" t="inlineStr">
        <is>
          <t>R_ROE</t>
        </is>
      </c>
      <c r="G4" s="5" t="inlineStr">
        <is>
          <t>R_EG</t>
        </is>
      </c>
      <c r="H4" s="5" t="inlineStr">
        <is>
          <t>Source URL</t>
        </is>
      </c>
    </row>
    <row r="5">
      <c r="A5" s="6" t="inlineStr">
        <is>
          <t>2017-01</t>
        </is>
      </c>
      <c r="B5" s="18" t="n">
        <v>0.0358</v>
      </c>
      <c r="C5" s="18" t="n">
        <v>1.937</v>
      </c>
      <c r="D5" s="18" t="n">
        <v>-1.8672</v>
      </c>
      <c r="E5" s="18" t="n">
        <v>-2.0241</v>
      </c>
      <c r="F5" s="18" t="n">
        <v>-1.3102</v>
      </c>
      <c r="G5" s="18" t="n">
        <v>0.6218</v>
      </c>
      <c r="H5" s="13" t="inlineStr">
        <is>
          <t>https://global-q.org/uploads/1/2/2/6/122679606/q5_factors_monthly_2024.csv</t>
        </is>
      </c>
    </row>
    <row r="6">
      <c r="A6" s="9" t="inlineStr">
        <is>
          <t>2017-02</t>
        </is>
      </c>
      <c r="B6" s="19" t="n">
        <v>0.0364</v>
      </c>
      <c r="C6" s="19" t="n">
        <v>3.5584</v>
      </c>
      <c r="D6" s="19" t="n">
        <v>-1.6698</v>
      </c>
      <c r="E6" s="19" t="n">
        <v>-2.2401</v>
      </c>
      <c r="F6" s="19" t="n">
        <v>2.0078</v>
      </c>
      <c r="G6" s="19" t="n">
        <v>2.4406</v>
      </c>
      <c r="H6" s="14" t="inlineStr">
        <is>
          <t>https://global-q.org/uploads/1/2/2/6/122679606/q5_factors_monthly_2024.csv</t>
        </is>
      </c>
    </row>
    <row r="7">
      <c r="A7" s="6" t="inlineStr">
        <is>
          <t>2017-03</t>
        </is>
      </c>
      <c r="B7" s="18" t="n">
        <v>0.0353</v>
      </c>
      <c r="C7" s="18" t="n">
        <v>0.167</v>
      </c>
      <c r="D7" s="18" t="n">
        <v>1.2536</v>
      </c>
      <c r="E7" s="18" t="n">
        <v>-1.2934</v>
      </c>
      <c r="F7" s="18" t="n">
        <v>1.9001</v>
      </c>
      <c r="G7" s="18" t="n">
        <v>1.1901</v>
      </c>
      <c r="H7" s="13" t="inlineStr">
        <is>
          <t>https://global-q.org/uploads/1/2/2/6/122679606/q5_factors_monthly_2024.csv</t>
        </is>
      </c>
    </row>
    <row r="8">
      <c r="A8" s="9" t="inlineStr">
        <is>
          <t>2017-04</t>
        </is>
      </c>
      <c r="B8" s="19" t="n">
        <v>0.0537</v>
      </c>
      <c r="C8" s="19" t="n">
        <v>1.0875</v>
      </c>
      <c r="D8" s="19" t="n">
        <v>0.6004</v>
      </c>
      <c r="E8" s="19" t="n">
        <v>-1.5686</v>
      </c>
      <c r="F8" s="19" t="n">
        <v>1.0154</v>
      </c>
      <c r="G8" s="19" t="n">
        <v>1.6122</v>
      </c>
      <c r="H8" s="14" t="inlineStr">
        <is>
          <t>https://global-q.org/uploads/1/2/2/6/122679606/q5_factors_monthly_2024.csv</t>
        </is>
      </c>
    </row>
    <row r="9">
      <c r="A9" s="6" t="inlineStr">
        <is>
          <t>2017-05</t>
        </is>
      </c>
      <c r="B9" s="18" t="n">
        <v>0.0614</v>
      </c>
      <c r="C9" s="18" t="n">
        <v>1.0635</v>
      </c>
      <c r="D9" s="18" t="n">
        <v>-2.572</v>
      </c>
      <c r="E9" s="18" t="n">
        <v>-1.559</v>
      </c>
      <c r="F9" s="18" t="n">
        <v>1.3157</v>
      </c>
      <c r="G9" s="18" t="n">
        <v>2.635</v>
      </c>
      <c r="H9" s="13" t="inlineStr">
        <is>
          <t>https://global-q.org/uploads/1/2/2/6/122679606/q5_factors_monthly_2024.csv</t>
        </is>
      </c>
    </row>
    <row r="10">
      <c r="A10" s="9" t="inlineStr">
        <is>
          <t>2017-06</t>
        </is>
      </c>
      <c r="B10" s="19" t="n">
        <v>0.0617</v>
      </c>
      <c r="C10" s="19" t="n">
        <v>0.7961</v>
      </c>
      <c r="D10" s="19" t="n">
        <v>3.0521</v>
      </c>
      <c r="E10" s="19" t="n">
        <v>-0.5345</v>
      </c>
      <c r="F10" s="19" t="n">
        <v>-1.3137</v>
      </c>
      <c r="G10" s="19" t="n">
        <v>-1.8924</v>
      </c>
      <c r="H10" s="14" t="inlineStr">
        <is>
          <t>https://global-q.org/uploads/1/2/2/6/122679606/q5_factors_monthly_2024.csv</t>
        </is>
      </c>
    </row>
    <row r="11">
      <c r="A11" s="6" t="inlineStr">
        <is>
          <t>2017-07</t>
        </is>
      </c>
      <c r="B11" s="18" t="n">
        <v>0.0722</v>
      </c>
      <c r="C11" s="18" t="n">
        <v>1.8659</v>
      </c>
      <c r="D11" s="18" t="n">
        <v>-1.1236</v>
      </c>
      <c r="E11" s="18" t="n">
        <v>-0.4271</v>
      </c>
      <c r="F11" s="18" t="n">
        <v>1.5283</v>
      </c>
      <c r="G11" s="18" t="n">
        <v>1.0275</v>
      </c>
      <c r="H11" s="13" t="inlineStr">
        <is>
          <t>https://global-q.org/uploads/1/2/2/6/122679606/q5_factors_monthly_2024.csv</t>
        </is>
      </c>
    </row>
    <row r="12">
      <c r="A12" s="9" t="inlineStr">
        <is>
          <t>2017-08</t>
        </is>
      </c>
      <c r="B12" s="19" t="n">
        <v>0.0827</v>
      </c>
      <c r="C12" s="19" t="n">
        <v>0.1618</v>
      </c>
      <c r="D12" s="19" t="n">
        <v>-1.4574</v>
      </c>
      <c r="E12" s="19" t="n">
        <v>-2.8822</v>
      </c>
      <c r="F12" s="19" t="n">
        <v>0.3922</v>
      </c>
      <c r="G12" s="19" t="n">
        <v>1.5105</v>
      </c>
      <c r="H12" s="14" t="inlineStr">
        <is>
          <t>https://global-q.org/uploads/1/2/2/6/122679606/q5_factors_monthly_2024.csv</t>
        </is>
      </c>
    </row>
    <row r="13">
      <c r="A13" s="6" t="inlineStr">
        <is>
          <t>2017-09</t>
        </is>
      </c>
      <c r="B13" s="18" t="n">
        <v>0.0944</v>
      </c>
      <c r="C13" s="18" t="n">
        <v>2.506</v>
      </c>
      <c r="D13" s="18" t="n">
        <v>4.912</v>
      </c>
      <c r="E13" s="18" t="n">
        <v>3.1438</v>
      </c>
      <c r="F13" s="18" t="n">
        <v>0.4345</v>
      </c>
      <c r="G13" s="18" t="n">
        <v>-1.753</v>
      </c>
      <c r="H13" s="13" t="inlineStr">
        <is>
          <t>https://global-q.org/uploads/1/2/2/6/122679606/q5_factors_monthly_2024.csv</t>
        </is>
      </c>
    </row>
    <row r="14">
      <c r="A14" s="9" t="inlineStr">
        <is>
          <t>2017-10</t>
        </is>
      </c>
      <c r="B14" s="19" t="n">
        <v>0.08400000000000001</v>
      </c>
      <c r="C14" s="19" t="n">
        <v>2.2515</v>
      </c>
      <c r="D14" s="19" t="n">
        <v>-1.3342</v>
      </c>
      <c r="E14" s="19" t="n">
        <v>-3.3036</v>
      </c>
      <c r="F14" s="19" t="n">
        <v>1.3833</v>
      </c>
      <c r="G14" s="19" t="n">
        <v>2.8975</v>
      </c>
      <c r="H14" s="14" t="inlineStr">
        <is>
          <t>https://global-q.org/uploads/1/2/2/6/122679606/q5_factors_monthly_2024.csv</t>
        </is>
      </c>
    </row>
    <row r="15">
      <c r="A15" s="6" t="inlineStr">
        <is>
          <t>2017-11</t>
        </is>
      </c>
      <c r="B15" s="18" t="n">
        <v>0.08260000000000001</v>
      </c>
      <c r="C15" s="18" t="n">
        <v>3.1198</v>
      </c>
      <c r="D15" s="18" t="n">
        <v>0.2129</v>
      </c>
      <c r="E15" s="18" t="n">
        <v>-0.4942</v>
      </c>
      <c r="F15" s="18" t="n">
        <v>1.8838</v>
      </c>
      <c r="G15" s="18" t="n">
        <v>1.1959</v>
      </c>
      <c r="H15" s="13" t="inlineStr">
        <is>
          <t>https://global-q.org/uploads/1/2/2/6/122679606/q5_factors_monthly_2024.csv</t>
        </is>
      </c>
    </row>
    <row r="16">
      <c r="A16" s="9" t="inlineStr">
        <is>
          <t>2017-12</t>
        </is>
      </c>
      <c r="B16" s="19" t="n">
        <v>0.08840000000000001</v>
      </c>
      <c r="C16" s="19" t="n">
        <v>1.0534</v>
      </c>
      <c r="D16" s="19" t="n">
        <v>-0.9099</v>
      </c>
      <c r="E16" s="19" t="n">
        <v>1.7421</v>
      </c>
      <c r="F16" s="19" t="n">
        <v>0.3374</v>
      </c>
      <c r="G16" s="19" t="n">
        <v>-1.0759</v>
      </c>
      <c r="H16" s="14" t="inlineStr">
        <is>
          <t>https://global-q.org/uploads/1/2/2/6/122679606/q5_factors_monthly_2024.csv</t>
        </is>
      </c>
    </row>
    <row r="17">
      <c r="A17" s="6" t="inlineStr">
        <is>
          <t>2018-01</t>
        </is>
      </c>
      <c r="B17" s="18" t="n">
        <v>0.1121</v>
      </c>
      <c r="C17" s="18" t="n">
        <v>5.576</v>
      </c>
      <c r="D17" s="18" t="n">
        <v>-2.7684</v>
      </c>
      <c r="E17" s="18" t="n">
        <v>-1.293</v>
      </c>
      <c r="F17" s="18" t="n">
        <v>-1.2809</v>
      </c>
      <c r="G17" s="18" t="n">
        <v>2.6048</v>
      </c>
      <c r="H17" s="13" t="inlineStr">
        <is>
          <t>https://global-q.org/uploads/1/2/2/6/122679606/q5_factors_monthly_2024.csv</t>
        </is>
      </c>
    </row>
    <row r="18">
      <c r="A18" s="9" t="inlineStr">
        <is>
          <t>2018-02</t>
        </is>
      </c>
      <c r="B18" s="19" t="n">
        <v>0.1073</v>
      </c>
      <c r="C18" s="19" t="n">
        <v>-3.6447</v>
      </c>
      <c r="D18" s="19" t="n">
        <v>0.1829</v>
      </c>
      <c r="E18" s="19" t="n">
        <v>-1.6974</v>
      </c>
      <c r="F18" s="19" t="n">
        <v>-0.7708</v>
      </c>
      <c r="G18" s="19" t="n">
        <v>4.4591</v>
      </c>
      <c r="H18" s="14" t="inlineStr">
        <is>
          <t>https://global-q.org/uploads/1/2/2/6/122679606/q5_factors_monthly_2024.csv</t>
        </is>
      </c>
    </row>
    <row r="19">
      <c r="A19" s="6" t="inlineStr">
        <is>
          <t>2018-03</t>
        </is>
      </c>
      <c r="B19" s="18" t="n">
        <v>0.0261</v>
      </c>
      <c r="C19" s="18" t="n">
        <v>-2.2549</v>
      </c>
      <c r="D19" s="18" t="n">
        <v>2.8006</v>
      </c>
      <c r="E19" s="18" t="n">
        <v>-0.1118</v>
      </c>
      <c r="F19" s="18" t="n">
        <v>0.1524</v>
      </c>
      <c r="G19" s="18" t="n">
        <v>0.4776</v>
      </c>
      <c r="H19" s="13" t="inlineStr">
        <is>
          <t>https://global-q.org/uploads/1/2/2/6/122679606/q5_factors_monthly_2024.csv</t>
        </is>
      </c>
    </row>
    <row r="20">
      <c r="A20" s="9" t="inlineStr">
        <is>
          <t>2018-04</t>
        </is>
      </c>
      <c r="B20" s="19" t="n">
        <v>0.1433</v>
      </c>
      <c r="C20" s="19" t="n">
        <v>0.2834</v>
      </c>
      <c r="D20" s="19" t="n">
        <v>0.2773</v>
      </c>
      <c r="E20" s="19" t="n">
        <v>1.5885</v>
      </c>
      <c r="F20" s="19" t="n">
        <v>-0.0349</v>
      </c>
      <c r="G20" s="19" t="n">
        <v>-0.8631</v>
      </c>
      <c r="H20" s="14" t="inlineStr">
        <is>
          <t>https://global-q.org/uploads/1/2/2/6/122679606/q5_factors_monthly_2024.csv</t>
        </is>
      </c>
    </row>
    <row r="21">
      <c r="A21" s="6" t="inlineStr">
        <is>
          <t>2018-05</t>
        </is>
      </c>
      <c r="B21" s="18" t="n">
        <v>0.1401</v>
      </c>
      <c r="C21" s="18" t="n">
        <v>2.6476</v>
      </c>
      <c r="D21" s="18" t="n">
        <v>4.9662</v>
      </c>
      <c r="E21" s="18" t="n">
        <v>-0.9604</v>
      </c>
      <c r="F21" s="18" t="n">
        <v>-1.7579</v>
      </c>
      <c r="G21" s="18" t="n">
        <v>2.3034</v>
      </c>
      <c r="H21" s="13" t="inlineStr">
        <is>
          <t>https://global-q.org/uploads/1/2/2/6/122679606/q5_factors_monthly_2024.csv</t>
        </is>
      </c>
    </row>
    <row r="22">
      <c r="A22" s="9" t="inlineStr">
        <is>
          <t>2018-06</t>
        </is>
      </c>
      <c r="B22" s="19" t="n">
        <v>0.1408</v>
      </c>
      <c r="C22" s="19" t="n">
        <v>0.4891</v>
      </c>
      <c r="D22" s="19" t="n">
        <v>0.6131</v>
      </c>
      <c r="E22" s="19" t="n">
        <v>-0.3933</v>
      </c>
      <c r="F22" s="19" t="n">
        <v>1.4069</v>
      </c>
      <c r="G22" s="19" t="n">
        <v>0.09669999999999999</v>
      </c>
      <c r="H22" s="14" t="inlineStr">
        <is>
          <t>https://global-q.org/uploads/1/2/2/6/122679606/q5_factors_monthly_2024.csv</t>
        </is>
      </c>
    </row>
    <row r="23">
      <c r="A23" s="6" t="inlineStr">
        <is>
          <t>2018-07</t>
        </is>
      </c>
      <c r="B23" s="18" t="n">
        <v>0.1558</v>
      </c>
      <c r="C23" s="18" t="n">
        <v>3.1971</v>
      </c>
      <c r="D23" s="18" t="n">
        <v>-1.3016</v>
      </c>
      <c r="E23" s="18" t="n">
        <v>0.4683</v>
      </c>
      <c r="F23" s="18" t="n">
        <v>1.9789</v>
      </c>
      <c r="G23" s="18" t="n">
        <v>1.4037</v>
      </c>
      <c r="H23" s="13" t="inlineStr">
        <is>
          <t>https://global-q.org/uploads/1/2/2/6/122679606/q5_factors_monthly_2024.csv</t>
        </is>
      </c>
    </row>
    <row r="24">
      <c r="A24" s="9" t="inlineStr">
        <is>
          <t>2018-08</t>
        </is>
      </c>
      <c r="B24" s="19" t="n">
        <v>0.1575</v>
      </c>
      <c r="C24" s="19" t="n">
        <v>3.4468</v>
      </c>
      <c r="D24" s="19" t="n">
        <v>1.5026</v>
      </c>
      <c r="E24" s="19" t="n">
        <v>-2.4114</v>
      </c>
      <c r="F24" s="19" t="n">
        <v>0.3614</v>
      </c>
      <c r="G24" s="19" t="n">
        <v>4.3046</v>
      </c>
      <c r="H24" s="14" t="inlineStr">
        <is>
          <t>https://global-q.org/uploads/1/2/2/6/122679606/q5_factors_monthly_2024.csv</t>
        </is>
      </c>
    </row>
    <row r="25">
      <c r="A25" s="6" t="inlineStr">
        <is>
          <t>2018-09</t>
        </is>
      </c>
      <c r="B25" s="18" t="n">
        <v>0.149</v>
      </c>
      <c r="C25" s="18" t="n">
        <v>0.0593</v>
      </c>
      <c r="D25" s="18" t="n">
        <v>-3.0996</v>
      </c>
      <c r="E25" s="18" t="n">
        <v>1.452</v>
      </c>
      <c r="F25" s="18" t="n">
        <v>0.7173</v>
      </c>
      <c r="G25" s="18" t="n">
        <v>1.0672</v>
      </c>
      <c r="H25" s="13" t="inlineStr">
        <is>
          <t>https://global-q.org/uploads/1/2/2/6/122679606/q5_factors_monthly_2024.csv</t>
        </is>
      </c>
    </row>
    <row r="26">
      <c r="A26" s="9" t="inlineStr">
        <is>
          <t>2018-10</t>
        </is>
      </c>
      <c r="B26" s="19" t="n">
        <v>0.189</v>
      </c>
      <c r="C26" s="19" t="n">
        <v>-7.6459</v>
      </c>
      <c r="D26" s="19" t="n">
        <v>-4.7534</v>
      </c>
      <c r="E26" s="19" t="n">
        <v>4.1692</v>
      </c>
      <c r="F26" s="19" t="n">
        <v>1.2685</v>
      </c>
      <c r="G26" s="19" t="n">
        <v>-0.7547</v>
      </c>
      <c r="H26" s="14" t="inlineStr">
        <is>
          <t>https://global-q.org/uploads/1/2/2/6/122679606/q5_factors_monthly_2024.csv</t>
        </is>
      </c>
    </row>
    <row r="27">
      <c r="A27" s="6" t="inlineStr">
        <is>
          <t>2018-11</t>
        </is>
      </c>
      <c r="B27" s="18" t="n">
        <v>0.1795</v>
      </c>
      <c r="C27" s="18" t="n">
        <v>1.7068</v>
      </c>
      <c r="D27" s="18" t="n">
        <v>-0.782</v>
      </c>
      <c r="E27" s="18" t="n">
        <v>-0.9846</v>
      </c>
      <c r="F27" s="18" t="n">
        <v>0.6952</v>
      </c>
      <c r="G27" s="18" t="n">
        <v>2.7574</v>
      </c>
      <c r="H27" s="13" t="inlineStr">
        <is>
          <t>https://global-q.org/uploads/1/2/2/6/122679606/q5_factors_monthly_2024.csv</t>
        </is>
      </c>
    </row>
    <row r="28">
      <c r="A28" s="9" t="inlineStr">
        <is>
          <t>2018-12</t>
        </is>
      </c>
      <c r="B28" s="19" t="n">
        <v>0.193</v>
      </c>
      <c r="C28" s="19" t="n">
        <v>-9.542400000000001</v>
      </c>
      <c r="D28" s="19" t="n">
        <v>-3.0373</v>
      </c>
      <c r="E28" s="19" t="n">
        <v>-0.8462</v>
      </c>
      <c r="F28" s="19" t="n">
        <v>1.2795</v>
      </c>
      <c r="G28" s="19" t="n">
        <v>2.522</v>
      </c>
      <c r="H28" s="14" t="inlineStr">
        <is>
          <t>https://global-q.org/uploads/1/2/2/6/122679606/q5_factors_monthly_2024.csv</t>
        </is>
      </c>
    </row>
    <row r="29">
      <c r="A29" s="6" t="inlineStr">
        <is>
          <t>2019-01</t>
        </is>
      </c>
      <c r="B29" s="18" t="n">
        <v>0.192</v>
      </c>
      <c r="C29" s="18" t="n">
        <v>8.4095</v>
      </c>
      <c r="D29" s="18" t="n">
        <v>2.0485</v>
      </c>
      <c r="E29" s="18" t="n">
        <v>-1.0005</v>
      </c>
      <c r="F29" s="18" t="n">
        <v>-3.9559</v>
      </c>
      <c r="G29" s="18" t="n">
        <v>-7.1401</v>
      </c>
      <c r="H29" s="13" t="inlineStr">
        <is>
          <t>https://global-q.org/uploads/1/2/2/6/122679606/q5_factors_monthly_2024.csv</t>
        </is>
      </c>
    </row>
    <row r="30">
      <c r="A30" s="9" t="inlineStr">
        <is>
          <t>2019-02</t>
        </is>
      </c>
      <c r="B30" s="19" t="n">
        <v>0.1809</v>
      </c>
      <c r="C30" s="19" t="n">
        <v>3.3945</v>
      </c>
      <c r="D30" s="19" t="n">
        <v>1.1896</v>
      </c>
      <c r="E30" s="19" t="n">
        <v>-2.5924</v>
      </c>
      <c r="F30" s="19" t="n">
        <v>0.5313</v>
      </c>
      <c r="G30" s="19" t="n">
        <v>1.3959</v>
      </c>
      <c r="H30" s="14" t="inlineStr">
        <is>
          <t>https://global-q.org/uploads/1/2/2/6/122679606/q5_factors_monthly_2024.csv</t>
        </is>
      </c>
    </row>
    <row r="31">
      <c r="A31" s="6" t="inlineStr">
        <is>
          <t>2019-03</t>
        </is>
      </c>
      <c r="B31" s="18" t="n">
        <v>0.1935</v>
      </c>
      <c r="C31" s="18" t="n">
        <v>1.1</v>
      </c>
      <c r="D31" s="18" t="n">
        <v>-3.4466</v>
      </c>
      <c r="E31" s="18" t="n">
        <v>-0.4942</v>
      </c>
      <c r="F31" s="18" t="n">
        <v>0.1059</v>
      </c>
      <c r="G31" s="18" t="n">
        <v>0.6733</v>
      </c>
      <c r="H31" s="13" t="inlineStr">
        <is>
          <t>https://global-q.org/uploads/1/2/2/6/122679606/q5_factors_monthly_2024.csv</t>
        </is>
      </c>
    </row>
    <row r="32">
      <c r="A32" s="9" t="inlineStr">
        <is>
          <t>2019-04</t>
        </is>
      </c>
      <c r="B32" s="19" t="n">
        <v>0.2125</v>
      </c>
      <c r="C32" s="19" t="n">
        <v>3.9607</v>
      </c>
      <c r="D32" s="19" t="n">
        <v>-0.2476</v>
      </c>
      <c r="E32" s="19" t="n">
        <v>-2.418</v>
      </c>
      <c r="F32" s="19" t="n">
        <v>1.8306</v>
      </c>
      <c r="G32" s="19" t="n">
        <v>1.0912</v>
      </c>
      <c r="H32" s="14" t="inlineStr">
        <is>
          <t>https://global-q.org/uploads/1/2/2/6/122679606/q5_factors_monthly_2024.csv</t>
        </is>
      </c>
    </row>
    <row r="33">
      <c r="A33" s="6" t="inlineStr">
        <is>
          <t>2019-05</t>
        </is>
      </c>
      <c r="B33" s="18" t="n">
        <v>0.1983</v>
      </c>
      <c r="C33" s="18" t="n">
        <v>-6.9254</v>
      </c>
      <c r="D33" s="18" t="n">
        <v>-1.9156</v>
      </c>
      <c r="E33" s="18" t="n">
        <v>1.5264</v>
      </c>
      <c r="F33" s="18" t="n">
        <v>0.6444</v>
      </c>
      <c r="G33" s="18" t="n">
        <v>0.1716</v>
      </c>
      <c r="H33" s="13" t="inlineStr">
        <is>
          <t>https://global-q.org/uploads/1/2/2/6/122679606/q5_factors_monthly_2024.csv</t>
        </is>
      </c>
    </row>
    <row r="34">
      <c r="A34" s="9" t="inlineStr">
        <is>
          <t>2019-06</t>
        </is>
      </c>
      <c r="B34" s="19" t="n">
        <v>0.1853</v>
      </c>
      <c r="C34" s="19" t="n">
        <v>6.9269</v>
      </c>
      <c r="D34" s="19" t="n">
        <v>-0.4309</v>
      </c>
      <c r="E34" s="19" t="n">
        <v>-0.266</v>
      </c>
      <c r="F34" s="19" t="n">
        <v>-0.1359</v>
      </c>
      <c r="G34" s="19" t="n">
        <v>-0.2662</v>
      </c>
      <c r="H34" s="14" t="inlineStr">
        <is>
          <t>https://global-q.org/uploads/1/2/2/6/122679606/q5_factors_monthly_2024.csv</t>
        </is>
      </c>
    </row>
    <row r="35">
      <c r="A35" s="6" t="inlineStr">
        <is>
          <t>2019-07</t>
        </is>
      </c>
      <c r="B35" s="18" t="n">
        <v>0.1783</v>
      </c>
      <c r="C35" s="18" t="n">
        <v>1.2213</v>
      </c>
      <c r="D35" s="18" t="n">
        <v>-1.6326</v>
      </c>
      <c r="E35" s="18" t="n">
        <v>0.1743</v>
      </c>
      <c r="F35" s="18" t="n">
        <v>0.4843</v>
      </c>
      <c r="G35" s="18" t="n">
        <v>1.2341</v>
      </c>
      <c r="H35" s="13" t="inlineStr">
        <is>
          <t>https://global-q.org/uploads/1/2/2/6/122679606/q5_factors_monthly_2024.csv</t>
        </is>
      </c>
    </row>
    <row r="36">
      <c r="A36" s="9" t="inlineStr">
        <is>
          <t>2019-08</t>
        </is>
      </c>
      <c r="B36" s="19" t="n">
        <v>0.1908</v>
      </c>
      <c r="C36" s="19" t="n">
        <v>-2.6018</v>
      </c>
      <c r="D36" s="19" t="n">
        <v>-4.2154</v>
      </c>
      <c r="E36" s="19" t="n">
        <v>-1.0234</v>
      </c>
      <c r="F36" s="19" t="n">
        <v>1.8878</v>
      </c>
      <c r="G36" s="19" t="n">
        <v>1.4913</v>
      </c>
      <c r="H36" s="14" t="inlineStr">
        <is>
          <t>https://global-q.org/uploads/1/2/2/6/122679606/q5_factors_monthly_2024.csv</t>
        </is>
      </c>
    </row>
    <row r="37">
      <c r="A37" s="6" t="inlineStr">
        <is>
          <t>2019-09</t>
        </is>
      </c>
      <c r="B37" s="18" t="n">
        <v>0.1787</v>
      </c>
      <c r="C37" s="18" t="n">
        <v>1.4293</v>
      </c>
      <c r="D37" s="18" t="n">
        <v>1.4289</v>
      </c>
      <c r="E37" s="18" t="n">
        <v>2.9672</v>
      </c>
      <c r="F37" s="18" t="n">
        <v>1.7225</v>
      </c>
      <c r="G37" s="18" t="n">
        <v>-1.8185</v>
      </c>
      <c r="H37" s="13" t="inlineStr">
        <is>
          <t>https://global-q.org/uploads/1/2/2/6/122679606/q5_factors_monthly_2024.csv</t>
        </is>
      </c>
    </row>
    <row r="38">
      <c r="A38" s="9" t="inlineStr">
        <is>
          <t>2019-10</t>
        </is>
      </c>
      <c r="B38" s="19" t="n">
        <v>0.1531</v>
      </c>
      <c r="C38" s="19" t="n">
        <v>2.0629</v>
      </c>
      <c r="D38" s="19" t="n">
        <v>0.8208</v>
      </c>
      <c r="E38" s="19" t="n">
        <v>-0.6402</v>
      </c>
      <c r="F38" s="19" t="n">
        <v>0.8429</v>
      </c>
      <c r="G38" s="19" t="n">
        <v>1.9502</v>
      </c>
      <c r="H38" s="14" t="inlineStr">
        <is>
          <t>https://global-q.org/uploads/1/2/2/6/122679606/q5_factors_monthly_2024.csv</t>
        </is>
      </c>
    </row>
    <row r="39">
      <c r="A39" s="6" t="inlineStr">
        <is>
          <t>2019-11</t>
        </is>
      </c>
      <c r="B39" s="18" t="n">
        <v>0.1197</v>
      </c>
      <c r="C39" s="18" t="n">
        <v>3.8677</v>
      </c>
      <c r="D39" s="18" t="n">
        <v>0.0019</v>
      </c>
      <c r="E39" s="18" t="n">
        <v>-1.0324</v>
      </c>
      <c r="F39" s="18" t="n">
        <v>-1.3056</v>
      </c>
      <c r="G39" s="18" t="n">
        <v>-0.6328</v>
      </c>
      <c r="H39" s="13" t="inlineStr">
        <is>
          <t>https://global-q.org/uploads/1/2/2/6/122679606/q5_factors_monthly_2024.csv</t>
        </is>
      </c>
    </row>
    <row r="40">
      <c r="A40" s="9" t="inlineStr">
        <is>
          <t>2019-12</t>
        </is>
      </c>
      <c r="B40" s="19" t="n">
        <v>0.1431</v>
      </c>
      <c r="C40" s="19" t="n">
        <v>2.7631</v>
      </c>
      <c r="D40" s="19" t="n">
        <v>1.2791</v>
      </c>
      <c r="E40" s="19" t="n">
        <v>1.769</v>
      </c>
      <c r="F40" s="19" t="n">
        <v>-1.252</v>
      </c>
      <c r="G40" s="19" t="n">
        <v>-0.6206</v>
      </c>
      <c r="H40" s="14" t="inlineStr">
        <is>
          <t>https://global-q.org/uploads/1/2/2/6/122679606/q5_factors_monthly_2024.csv</t>
        </is>
      </c>
    </row>
    <row r="41">
      <c r="A41" s="6" t="inlineStr">
        <is>
          <t>2020-01</t>
        </is>
      </c>
      <c r="B41" s="18" t="n">
        <v>0.1164</v>
      </c>
      <c r="C41" s="18" t="n">
        <v>-0.09180000000000001</v>
      </c>
      <c r="D41" s="18" t="n">
        <v>-4.7599</v>
      </c>
      <c r="E41" s="18" t="n">
        <v>-2.4186</v>
      </c>
      <c r="F41" s="18" t="n">
        <v>-0.434</v>
      </c>
      <c r="G41" s="18" t="n">
        <v>2.4445</v>
      </c>
      <c r="H41" s="13" t="inlineStr">
        <is>
          <t>https://global-q.org/uploads/1/2/2/6/122679606/q5_factors_monthly_2024.csv</t>
        </is>
      </c>
    </row>
    <row r="42">
      <c r="A42" s="9" t="inlineStr">
        <is>
          <t>2020-02</t>
        </is>
      </c>
      <c r="B42" s="19" t="n">
        <v>0.1208</v>
      </c>
      <c r="C42" s="19" t="n">
        <v>-8.128500000000001</v>
      </c>
      <c r="D42" s="19" t="n">
        <v>-1.3419</v>
      </c>
      <c r="E42" s="19" t="n">
        <v>-2.1767</v>
      </c>
      <c r="F42" s="19" t="n">
        <v>-0.5082</v>
      </c>
      <c r="G42" s="19" t="n">
        <v>1.4314</v>
      </c>
      <c r="H42" s="14" t="inlineStr">
        <is>
          <t>https://global-q.org/uploads/1/2/2/6/122679606/q5_factors_monthly_2024.csv</t>
        </is>
      </c>
    </row>
    <row r="43">
      <c r="A43" s="6" t="inlineStr">
        <is>
          <t>2020-03</t>
        </is>
      </c>
      <c r="B43" s="18" t="n">
        <v>0.1268</v>
      </c>
      <c r="C43" s="18" t="n">
        <v>-13.3781</v>
      </c>
      <c r="D43" s="18" t="n">
        <v>-8.4139</v>
      </c>
      <c r="E43" s="18" t="n">
        <v>2.1173</v>
      </c>
      <c r="F43" s="18" t="n">
        <v>5.8288</v>
      </c>
      <c r="G43" s="18" t="n">
        <v>11.8761</v>
      </c>
      <c r="H43" s="13" t="inlineStr">
        <is>
          <t>https://global-q.org/uploads/1/2/2/6/122679606/q5_factors_monthly_2024.csv</t>
        </is>
      </c>
    </row>
    <row r="44">
      <c r="A44" s="9" t="inlineStr">
        <is>
          <t>2020-04</t>
        </is>
      </c>
      <c r="B44" s="19" t="n">
        <v>0.0003</v>
      </c>
      <c r="C44" s="19" t="n">
        <v>13.5918</v>
      </c>
      <c r="D44" s="19" t="n">
        <v>3.2906</v>
      </c>
      <c r="E44" s="19" t="n">
        <v>-0.1783</v>
      </c>
      <c r="F44" s="19" t="n">
        <v>-2.1253</v>
      </c>
      <c r="G44" s="19" t="n">
        <v>-2.9684</v>
      </c>
      <c r="H44" s="14" t="inlineStr">
        <is>
          <t>https://global-q.org/uploads/1/2/2/6/122679606/q5_factors_monthly_2024.csv</t>
        </is>
      </c>
    </row>
    <row r="45">
      <c r="A45" s="6" t="inlineStr">
        <is>
          <t>2020-05</t>
        </is>
      </c>
      <c r="B45" s="18" t="n">
        <v>0.0059</v>
      </c>
      <c r="C45" s="18" t="n">
        <v>5.583</v>
      </c>
      <c r="D45" s="18" t="n">
        <v>2.4993</v>
      </c>
      <c r="E45" s="18" t="n">
        <v>-3.6764</v>
      </c>
      <c r="F45" s="18" t="n">
        <v>-0.5798</v>
      </c>
      <c r="G45" s="18" t="n">
        <v>0.6878</v>
      </c>
      <c r="H45" s="13" t="inlineStr">
        <is>
          <t>https://global-q.org/uploads/1/2/2/6/122679606/q5_factors_monthly_2024.csv</t>
        </is>
      </c>
    </row>
    <row r="46">
      <c r="A46" s="9" t="inlineStr">
        <is>
          <t>2020-06</t>
        </is>
      </c>
      <c r="B46" s="19" t="n">
        <v>0.0111</v>
      </c>
      <c r="C46" s="19" t="n">
        <v>2.4608</v>
      </c>
      <c r="D46" s="19" t="n">
        <v>2.2963</v>
      </c>
      <c r="E46" s="19" t="n">
        <v>0.2683</v>
      </c>
      <c r="F46" s="19" t="n">
        <v>1.1718</v>
      </c>
      <c r="G46" s="19" t="n">
        <v>1.6921</v>
      </c>
      <c r="H46" s="14" t="inlineStr">
        <is>
          <t>https://global-q.org/uploads/1/2/2/6/122679606/q5_factors_monthly_2024.csv</t>
        </is>
      </c>
    </row>
    <row r="47">
      <c r="A47" s="6" t="inlineStr">
        <is>
          <t>2020-07</t>
        </is>
      </c>
      <c r="B47" s="18" t="n">
        <v>0.009599999999999999</v>
      </c>
      <c r="C47" s="18" t="n">
        <v>5.7699</v>
      </c>
      <c r="D47" s="18" t="n">
        <v>-1.2856</v>
      </c>
      <c r="E47" s="18" t="n">
        <v>-1.3374</v>
      </c>
      <c r="F47" s="18" t="n">
        <v>3.338</v>
      </c>
      <c r="G47" s="18" t="n">
        <v>1.4232</v>
      </c>
      <c r="H47" s="13" t="inlineStr">
        <is>
          <t>https://global-q.org/uploads/1/2/2/6/122679606/q5_factors_monthly_2024.csv</t>
        </is>
      </c>
    </row>
    <row r="48">
      <c r="A48" s="9" t="inlineStr">
        <is>
          <t>2020-08</t>
        </is>
      </c>
      <c r="B48" s="19" t="n">
        <v>0.007900000000000001</v>
      </c>
      <c r="C48" s="19" t="n">
        <v>7.626</v>
      </c>
      <c r="D48" s="19" t="n">
        <v>-2.0521</v>
      </c>
      <c r="E48" s="19" t="n">
        <v>-3.0065</v>
      </c>
      <c r="F48" s="19" t="n">
        <v>-0.7135</v>
      </c>
      <c r="G48" s="19" t="n">
        <v>-1.6874</v>
      </c>
      <c r="H48" s="14" t="inlineStr">
        <is>
          <t>https://global-q.org/uploads/1/2/2/6/122679606/q5_factors_monthly_2024.csv</t>
        </is>
      </c>
    </row>
    <row r="49">
      <c r="A49" s="6" t="inlineStr">
        <is>
          <t>2020-09</t>
        </is>
      </c>
      <c r="B49" s="18" t="n">
        <v>0.0076</v>
      </c>
      <c r="C49" s="18" t="n">
        <v>-3.6283</v>
      </c>
      <c r="D49" s="18" t="n">
        <v>0.6347</v>
      </c>
      <c r="E49" s="18" t="n">
        <v>-2.5151</v>
      </c>
      <c r="F49" s="18" t="n">
        <v>1.1429</v>
      </c>
      <c r="G49" s="18" t="n">
        <v>0.8538</v>
      </c>
      <c r="H49" s="13" t="inlineStr">
        <is>
          <t>https://global-q.org/uploads/1/2/2/6/122679606/q5_factors_monthly_2024.csv</t>
        </is>
      </c>
    </row>
    <row r="50">
      <c r="A50" s="9" t="inlineStr">
        <is>
          <t>2020-10</t>
        </is>
      </c>
      <c r="B50" s="19" t="n">
        <v>0.0073</v>
      </c>
      <c r="C50" s="19" t="n">
        <v>-2.1002</v>
      </c>
      <c r="D50" s="19" t="n">
        <v>2.5852</v>
      </c>
      <c r="E50" s="19" t="n">
        <v>-0.2991</v>
      </c>
      <c r="F50" s="19" t="n">
        <v>-2.6977</v>
      </c>
      <c r="G50" s="19" t="n">
        <v>0.0617</v>
      </c>
      <c r="H50" s="14" t="inlineStr">
        <is>
          <t>https://global-q.org/uploads/1/2/2/6/122679606/q5_factors_monthly_2024.csv</t>
        </is>
      </c>
    </row>
    <row r="51">
      <c r="A51" s="6" t="inlineStr">
        <is>
          <t>2020-11</t>
        </is>
      </c>
      <c r="B51" s="18" t="n">
        <v>0.0066</v>
      </c>
      <c r="C51" s="18" t="n">
        <v>12.4684</v>
      </c>
      <c r="D51" s="18" t="n">
        <v>4.1686</v>
      </c>
      <c r="E51" s="18" t="n">
        <v>3.105</v>
      </c>
      <c r="F51" s="18" t="n">
        <v>-14.355</v>
      </c>
      <c r="G51" s="18" t="n">
        <v>-9.7563</v>
      </c>
      <c r="H51" s="13" t="inlineStr">
        <is>
          <t>https://global-q.org/uploads/1/2/2/6/122679606/q5_factors_monthly_2024.csv</t>
        </is>
      </c>
    </row>
    <row r="52">
      <c r="A52" s="9" t="inlineStr">
        <is>
          <t>2020-12</t>
        </is>
      </c>
      <c r="B52" s="19" t="n">
        <v>0.006</v>
      </c>
      <c r="C52" s="19" t="n">
        <v>4.6321</v>
      </c>
      <c r="D52" s="19" t="n">
        <v>4.2033</v>
      </c>
      <c r="E52" s="19" t="n">
        <v>-2.7493</v>
      </c>
      <c r="F52" s="19" t="n">
        <v>-4.021</v>
      </c>
      <c r="G52" s="19" t="n">
        <v>-1.1251</v>
      </c>
      <c r="H52" s="14" t="inlineStr">
        <is>
          <t>https://global-q.org/uploads/1/2/2/6/122679606/q5_factors_monthly_2024.csv</t>
        </is>
      </c>
    </row>
    <row r="53">
      <c r="A53" s="6" t="inlineStr">
        <is>
          <t>2021-01</t>
        </is>
      </c>
      <c r="B53" s="18" t="n">
        <v>0.0046</v>
      </c>
      <c r="C53" s="18" t="n">
        <v>-0.0212</v>
      </c>
      <c r="D53" s="18" t="n">
        <v>8.2178</v>
      </c>
      <c r="E53" s="18" t="n">
        <v>6.4689</v>
      </c>
      <c r="F53" s="18" t="n">
        <v>-1.9859</v>
      </c>
      <c r="G53" s="18" t="n">
        <v>-7.1944</v>
      </c>
      <c r="H53" s="13" t="inlineStr">
        <is>
          <t>https://global-q.org/uploads/1/2/2/6/122679606/q5_factors_monthly_2024.csv</t>
        </is>
      </c>
    </row>
    <row r="54">
      <c r="A54" s="9" t="inlineStr">
        <is>
          <t>2021-02</t>
        </is>
      </c>
      <c r="B54" s="19" t="n">
        <v>0.0045</v>
      </c>
      <c r="C54" s="19" t="n">
        <v>2.7769</v>
      </c>
      <c r="D54" s="19" t="n">
        <v>4.3453</v>
      </c>
      <c r="E54" s="19" t="n">
        <v>-0.6264</v>
      </c>
      <c r="F54" s="19" t="n">
        <v>-6.1783</v>
      </c>
      <c r="G54" s="19" t="n">
        <v>-5.8242</v>
      </c>
      <c r="H54" s="14" t="inlineStr">
        <is>
          <t>https://global-q.org/uploads/1/2/2/6/122679606/q5_factors_monthly_2024.csv</t>
        </is>
      </c>
    </row>
    <row r="55">
      <c r="A55" s="6" t="inlineStr">
        <is>
          <t>2021-03</t>
        </is>
      </c>
      <c r="B55" s="18" t="n">
        <v>0.0027</v>
      </c>
      <c r="C55" s="18" t="n">
        <v>3.0849</v>
      </c>
      <c r="D55" s="18" t="n">
        <v>-0.6556</v>
      </c>
      <c r="E55" s="18" t="n">
        <v>4.7173</v>
      </c>
      <c r="F55" s="18" t="n">
        <v>4.4184</v>
      </c>
      <c r="G55" s="18" t="n">
        <v>-1.5273</v>
      </c>
      <c r="H55" s="13" t="inlineStr">
        <is>
          <t>https://global-q.org/uploads/1/2/2/6/122679606/q5_factors_monthly_2024.csv</t>
        </is>
      </c>
    </row>
    <row r="56">
      <c r="A56" s="9" t="inlineStr">
        <is>
          <t>2021-04</t>
        </is>
      </c>
      <c r="B56" s="19" t="n">
        <v>0.0014</v>
      </c>
      <c r="C56" s="19" t="n">
        <v>4.9228</v>
      </c>
      <c r="D56" s="19" t="n">
        <v>-3.0496</v>
      </c>
      <c r="E56" s="19" t="n">
        <v>-3.3369</v>
      </c>
      <c r="F56" s="19" t="n">
        <v>2.2146</v>
      </c>
      <c r="G56" s="19" t="n">
        <v>2.2226</v>
      </c>
      <c r="H56" s="14" t="inlineStr">
        <is>
          <t>https://global-q.org/uploads/1/2/2/6/122679606/q5_factors_monthly_2024.csv</t>
        </is>
      </c>
    </row>
    <row r="57">
      <c r="A57" s="6" t="inlineStr">
        <is>
          <t>2021-05</t>
        </is>
      </c>
      <c r="B57" s="18" t="n">
        <v>0.0005</v>
      </c>
      <c r="C57" s="18" t="n">
        <v>0.2877</v>
      </c>
      <c r="D57" s="18" t="n">
        <v>1.4392</v>
      </c>
      <c r="E57" s="18" t="n">
        <v>4.5591</v>
      </c>
      <c r="F57" s="18" t="n">
        <v>2.3724</v>
      </c>
      <c r="G57" s="18" t="n">
        <v>-1.5753</v>
      </c>
      <c r="H57" s="13" t="inlineStr">
        <is>
          <t>https://global-q.org/uploads/1/2/2/6/122679606/q5_factors_monthly_2024.csv</t>
        </is>
      </c>
    </row>
    <row r="58">
      <c r="A58" s="9" t="inlineStr">
        <is>
          <t>2021-06</t>
        </is>
      </c>
      <c r="B58" s="19" t="n">
        <v>0.0004</v>
      </c>
      <c r="C58" s="19" t="n">
        <v>2.7505</v>
      </c>
      <c r="D58" s="19" t="n">
        <v>-0.1316</v>
      </c>
      <c r="E58" s="19" t="n">
        <v>-2.5953</v>
      </c>
      <c r="F58" s="19" t="n">
        <v>-1.3245</v>
      </c>
      <c r="G58" s="19" t="n">
        <v>3.5564</v>
      </c>
      <c r="H58" s="14" t="inlineStr">
        <is>
          <t>https://global-q.org/uploads/1/2/2/6/122679606/q5_factors_monthly_2024.csv</t>
        </is>
      </c>
    </row>
    <row r="59">
      <c r="A59" s="6" t="inlineStr">
        <is>
          <t>2021-07</t>
        </is>
      </c>
      <c r="B59" s="18" t="n">
        <v>0.0031</v>
      </c>
      <c r="C59" s="18" t="n">
        <v>1.2652</v>
      </c>
      <c r="D59" s="18" t="n">
        <v>-3.053</v>
      </c>
      <c r="E59" s="18" t="n">
        <v>-1.5062</v>
      </c>
      <c r="F59" s="18" t="n">
        <v>7.4792</v>
      </c>
      <c r="G59" s="18" t="n">
        <v>5.249</v>
      </c>
      <c r="H59" s="13" t="inlineStr">
        <is>
          <t>https://global-q.org/uploads/1/2/2/6/122679606/q5_factors_monthly_2024.csv</t>
        </is>
      </c>
    </row>
    <row r="60">
      <c r="A60" s="9" t="inlineStr">
        <is>
          <t>2021-08</t>
        </is>
      </c>
      <c r="B60" s="19" t="n">
        <v>0.0049</v>
      </c>
      <c r="C60" s="19" t="n">
        <v>2.9065</v>
      </c>
      <c r="D60" s="19" t="n">
        <v>-0.7272</v>
      </c>
      <c r="E60" s="19" t="n">
        <v>-2.1892</v>
      </c>
      <c r="F60" s="19" t="n">
        <v>1.255</v>
      </c>
      <c r="G60" s="19" t="n">
        <v>2.2517</v>
      </c>
      <c r="H60" s="14" t="inlineStr">
        <is>
          <t>https://global-q.org/uploads/1/2/2/6/122679606/q5_factors_monthly_2024.csv</t>
        </is>
      </c>
    </row>
    <row r="61">
      <c r="A61" s="6" t="inlineStr">
        <is>
          <t>2021-09</t>
        </is>
      </c>
      <c r="B61" s="18" t="n">
        <v>0.0033</v>
      </c>
      <c r="C61" s="18" t="n">
        <v>-4.3671</v>
      </c>
      <c r="D61" s="18" t="n">
        <v>0.738</v>
      </c>
      <c r="E61" s="18" t="n">
        <v>3.3074</v>
      </c>
      <c r="F61" s="18" t="n">
        <v>-1.7797</v>
      </c>
      <c r="G61" s="18" t="n">
        <v>-4.7938</v>
      </c>
      <c r="H61" s="13" t="inlineStr">
        <is>
          <t>https://global-q.org/uploads/1/2/2/6/122679606/q5_factors_monthly_2024.csv</t>
        </is>
      </c>
    </row>
    <row r="62">
      <c r="A62" s="9" t="inlineStr">
        <is>
          <t>2021-10</t>
        </is>
      </c>
      <c r="B62" s="19" t="n">
        <v>0.0037</v>
      </c>
      <c r="C62" s="19" t="n">
        <v>6.6487</v>
      </c>
      <c r="D62" s="19" t="n">
        <v>-2.0151</v>
      </c>
      <c r="E62" s="19" t="n">
        <v>-2.2654</v>
      </c>
      <c r="F62" s="19" t="n">
        <v>3.2909</v>
      </c>
      <c r="G62" s="19" t="n">
        <v>3.5348</v>
      </c>
      <c r="H62" s="14" t="inlineStr">
        <is>
          <t>https://global-q.org/uploads/1/2/2/6/122679606/q5_factors_monthly_2024.csv</t>
        </is>
      </c>
    </row>
    <row r="63">
      <c r="A63" s="6" t="inlineStr">
        <is>
          <t>2021-11</t>
        </is>
      </c>
      <c r="B63" s="18" t="n">
        <v>0.0044</v>
      </c>
      <c r="C63" s="18" t="n">
        <v>-1.5459</v>
      </c>
      <c r="D63" s="18" t="n">
        <v>-0.6292</v>
      </c>
      <c r="E63" s="18" t="n">
        <v>-0.4569</v>
      </c>
      <c r="F63" s="18" t="n">
        <v>8.3789</v>
      </c>
      <c r="G63" s="18" t="n">
        <v>4.785</v>
      </c>
      <c r="H63" s="13" t="inlineStr">
        <is>
          <t>https://global-q.org/uploads/1/2/2/6/122679606/q5_factors_monthly_2024.csv</t>
        </is>
      </c>
    </row>
    <row r="64">
      <c r="A64" s="9" t="inlineStr">
        <is>
          <t>2021-12</t>
        </is>
      </c>
      <c r="B64" s="19" t="n">
        <v>0.0067</v>
      </c>
      <c r="C64" s="19" t="n">
        <v>3.1005</v>
      </c>
      <c r="D64" s="19" t="n">
        <v>-0.5416</v>
      </c>
      <c r="E64" s="19" t="n">
        <v>5.2366</v>
      </c>
      <c r="F64" s="19" t="n">
        <v>3.823</v>
      </c>
      <c r="G64" s="19" t="n">
        <v>1.1799</v>
      </c>
      <c r="H64" s="14" t="inlineStr">
        <is>
          <t>https://global-q.org/uploads/1/2/2/6/122679606/q5_factors_monthly_2024.csv</t>
        </is>
      </c>
    </row>
    <row r="65">
      <c r="A65" s="6" t="inlineStr">
        <is>
          <t>2022-01</t>
        </is>
      </c>
      <c r="B65" s="18" t="n">
        <v>0.0044</v>
      </c>
      <c r="C65" s="18" t="n">
        <v>-6.2481</v>
      </c>
      <c r="D65" s="18" t="n">
        <v>-3.7454</v>
      </c>
      <c r="E65" s="18" t="n">
        <v>10.4429</v>
      </c>
      <c r="F65" s="18" t="n">
        <v>0.7748</v>
      </c>
      <c r="G65" s="18" t="n">
        <v>-3.4199</v>
      </c>
      <c r="H65" s="13" t="inlineStr">
        <is>
          <t>https://global-q.org/uploads/1/2/2/6/122679606/q5_factors_monthly_2024.csv</t>
        </is>
      </c>
    </row>
    <row r="66">
      <c r="A66" s="9" t="inlineStr">
        <is>
          <t>2022-02</t>
        </is>
      </c>
      <c r="B66" s="19" t="n">
        <v>0.0028</v>
      </c>
      <c r="C66" s="19" t="n">
        <v>-2.2805</v>
      </c>
      <c r="D66" s="19" t="n">
        <v>3.2417</v>
      </c>
      <c r="E66" s="19" t="n">
        <v>3.9305</v>
      </c>
      <c r="F66" s="19" t="n">
        <v>-2.2584</v>
      </c>
      <c r="G66" s="19" t="n">
        <v>-4.2678</v>
      </c>
      <c r="H66" s="14" t="inlineStr">
        <is>
          <t>https://global-q.org/uploads/1/2/2/6/122679606/q5_factors_monthly_2024.csv</t>
        </is>
      </c>
    </row>
    <row r="67">
      <c r="A67" s="6" t="inlineStr">
        <is>
          <t>2022-03</t>
        </is>
      </c>
      <c r="B67" s="18" t="n">
        <v>0.006</v>
      </c>
      <c r="C67" s="18" t="n">
        <v>3.0566</v>
      </c>
      <c r="D67" s="18" t="n">
        <v>-1.8113</v>
      </c>
      <c r="E67" s="18" t="n">
        <v>3.3117</v>
      </c>
      <c r="F67" s="18" t="n">
        <v>-0.0987</v>
      </c>
      <c r="G67" s="18" t="n">
        <v>-1.4433</v>
      </c>
      <c r="H67" s="13" t="inlineStr">
        <is>
          <t>https://global-q.org/uploads/1/2/2/6/122679606/q5_factors_monthly_2024.csv</t>
        </is>
      </c>
    </row>
    <row r="68">
      <c r="A68" s="9" t="inlineStr">
        <is>
          <t>2022-04</t>
        </is>
      </c>
      <c r="B68" s="19" t="n">
        <v>0.0037</v>
      </c>
      <c r="C68" s="19" t="n">
        <v>-9.4436</v>
      </c>
      <c r="D68" s="19" t="n">
        <v>0.8986</v>
      </c>
      <c r="E68" s="19" t="n">
        <v>6.0424</v>
      </c>
      <c r="F68" s="19" t="n">
        <v>4.6941</v>
      </c>
      <c r="G68" s="19" t="n">
        <v>-0.0118</v>
      </c>
      <c r="H68" s="14" t="inlineStr">
        <is>
          <t>https://global-q.org/uploads/1/2/2/6/122679606/q5_factors_monthly_2024.csv</t>
        </is>
      </c>
    </row>
    <row r="69">
      <c r="A69" s="6" t="inlineStr">
        <is>
          <t>2022-05</t>
        </is>
      </c>
      <c r="B69" s="18" t="n">
        <v>0.0307</v>
      </c>
      <c r="C69" s="18" t="n">
        <v>-0.3407</v>
      </c>
      <c r="D69" s="18" t="n">
        <v>0.823</v>
      </c>
      <c r="E69" s="18" t="n">
        <v>5.7417</v>
      </c>
      <c r="F69" s="18" t="n">
        <v>1.0855</v>
      </c>
      <c r="G69" s="18" t="n">
        <v>1.3569</v>
      </c>
      <c r="H69" s="13" t="inlineStr">
        <is>
          <t>https://global-q.org/uploads/1/2/2/6/122679606/q5_factors_monthly_2024.csv</t>
        </is>
      </c>
    </row>
    <row r="70">
      <c r="A70" s="9" t="inlineStr">
        <is>
          <t>2022-06</t>
        </is>
      </c>
      <c r="B70" s="19" t="n">
        <v>0.0567</v>
      </c>
      <c r="C70" s="19" t="n">
        <v>-8.4238</v>
      </c>
      <c r="D70" s="19" t="n">
        <v>0.7304</v>
      </c>
      <c r="E70" s="19" t="n">
        <v>-5.6444</v>
      </c>
      <c r="F70" s="19" t="n">
        <v>1.0413</v>
      </c>
      <c r="G70" s="19" t="n">
        <v>1.3748</v>
      </c>
      <c r="H70" s="14" t="inlineStr">
        <is>
          <t>https://global-q.org/uploads/1/2/2/6/122679606/q5_factors_monthly_2024.csv</t>
        </is>
      </c>
    </row>
    <row r="71">
      <c r="A71" s="6" t="inlineStr">
        <is>
          <t>2022-07</t>
        </is>
      </c>
      <c r="B71" s="18" t="n">
        <v>0.08119999999999999</v>
      </c>
      <c r="C71" s="18" t="n">
        <v>9.556100000000001</v>
      </c>
      <c r="D71" s="18" t="n">
        <v>0.2718</v>
      </c>
      <c r="E71" s="18" t="n">
        <v>-5.5565</v>
      </c>
      <c r="F71" s="18" t="n">
        <v>-2.045</v>
      </c>
      <c r="G71" s="18" t="n">
        <v>2.3606</v>
      </c>
      <c r="H71" s="13" t="inlineStr">
        <is>
          <t>https://global-q.org/uploads/1/2/2/6/122679606/q5_factors_monthly_2024.csv</t>
        </is>
      </c>
    </row>
    <row r="72">
      <c r="A72" s="9" t="inlineStr">
        <is>
          <t>2022-08</t>
        </is>
      </c>
      <c r="B72" s="19" t="n">
        <v>0.1901</v>
      </c>
      <c r="C72" s="19" t="n">
        <v>-3.7707</v>
      </c>
      <c r="D72" s="19" t="n">
        <v>1.396</v>
      </c>
      <c r="E72" s="19" t="n">
        <v>2.8829</v>
      </c>
      <c r="F72" s="19" t="n">
        <v>-2.8215</v>
      </c>
      <c r="G72" s="19" t="n">
        <v>-3.359</v>
      </c>
      <c r="H72" s="14" t="inlineStr">
        <is>
          <t>https://global-q.org/uploads/1/2/2/6/122679606/q5_factors_monthly_2024.csv</t>
        </is>
      </c>
    </row>
    <row r="73">
      <c r="A73" s="6" t="inlineStr">
        <is>
          <t>2022-09</t>
        </is>
      </c>
      <c r="B73" s="18" t="n">
        <v>0.1929</v>
      </c>
      <c r="C73" s="18" t="n">
        <v>-9.346399999999999</v>
      </c>
      <c r="D73" s="18" t="n">
        <v>-1.7137</v>
      </c>
      <c r="E73" s="18" t="n">
        <v>-0.2636</v>
      </c>
      <c r="F73" s="18" t="n">
        <v>1.0989</v>
      </c>
      <c r="G73" s="18" t="n">
        <v>1.7873</v>
      </c>
      <c r="H73" s="13" t="inlineStr">
        <is>
          <t>https://global-q.org/uploads/1/2/2/6/122679606/q5_factors_monthly_2024.csv</t>
        </is>
      </c>
    </row>
    <row r="74">
      <c r="A74" s="9" t="inlineStr">
        <is>
          <t>2022-10</t>
        </is>
      </c>
      <c r="B74" s="19" t="n">
        <v>0.2327</v>
      </c>
      <c r="C74" s="19" t="n">
        <v>7.8335</v>
      </c>
      <c r="D74" s="19" t="n">
        <v>4.6727</v>
      </c>
      <c r="E74" s="19" t="n">
        <v>7.4759</v>
      </c>
      <c r="F74" s="19" t="n">
        <v>5.4532</v>
      </c>
      <c r="G74" s="19" t="n">
        <v>-0.9368</v>
      </c>
      <c r="H74" s="14" t="inlineStr">
        <is>
          <t>https://global-q.org/uploads/1/2/2/6/122679606/q5_factors_monthly_2024.csv</t>
        </is>
      </c>
    </row>
    <row r="75">
      <c r="A75" s="6" t="inlineStr">
        <is>
          <t>2022-11</t>
        </is>
      </c>
      <c r="B75" s="18" t="n">
        <v>0.2856</v>
      </c>
      <c r="C75" s="18" t="n">
        <v>4.6103</v>
      </c>
      <c r="D75" s="18" t="n">
        <v>-2.3298</v>
      </c>
      <c r="E75" s="18" t="n">
        <v>2.1129</v>
      </c>
      <c r="F75" s="18" t="n">
        <v>2.4681</v>
      </c>
      <c r="G75" s="18" t="n">
        <v>1.3507</v>
      </c>
      <c r="H75" s="13" t="inlineStr">
        <is>
          <t>https://global-q.org/uploads/1/2/2/6/122679606/q5_factors_monthly_2024.csv</t>
        </is>
      </c>
    </row>
    <row r="76">
      <c r="A76" s="9" t="inlineStr">
        <is>
          <t>2022-12</t>
        </is>
      </c>
      <c r="B76" s="19" t="n">
        <v>0.3379</v>
      </c>
      <c r="C76" s="19" t="n">
        <v>-6.4062</v>
      </c>
      <c r="D76" s="19" t="n">
        <v>0.3374</v>
      </c>
      <c r="E76" s="19" t="n">
        <v>3.9261</v>
      </c>
      <c r="F76" s="19" t="n">
        <v>-0.4648</v>
      </c>
      <c r="G76" s="19" t="n">
        <v>-0.4815</v>
      </c>
      <c r="H76" s="14" t="inlineStr">
        <is>
          <t>https://global-q.org/uploads/1/2/2/6/122679606/q5_factors_monthly_2024.csv</t>
        </is>
      </c>
    </row>
    <row r="77">
      <c r="A77" s="6" t="inlineStr">
        <is>
          <t>2023-01</t>
        </is>
      </c>
      <c r="B77" s="18" t="n">
        <v>0.3506</v>
      </c>
      <c r="C77" s="18" t="n">
        <v>6.6413</v>
      </c>
      <c r="D77" s="18" t="n">
        <v>4.7212</v>
      </c>
      <c r="E77" s="18" t="n">
        <v>-5.4106</v>
      </c>
      <c r="F77" s="18" t="n">
        <v>-4.2423</v>
      </c>
      <c r="G77" s="18" t="n">
        <v>-2.1437</v>
      </c>
      <c r="H77" s="13" t="inlineStr">
        <is>
          <t>https://global-q.org/uploads/1/2/2/6/122679606/q5_factors_monthly_2024.csv</t>
        </is>
      </c>
    </row>
    <row r="78">
      <c r="A78" s="9" t="inlineStr">
        <is>
          <t>2023-02</t>
        </is>
      </c>
      <c r="B78" s="19" t="n">
        <v>0.345</v>
      </c>
      <c r="C78" s="19" t="n">
        <v>-2.5855</v>
      </c>
      <c r="D78" s="19" t="n">
        <v>-0.1341</v>
      </c>
      <c r="E78" s="19" t="n">
        <v>-1.3265</v>
      </c>
      <c r="F78" s="19" t="n">
        <v>2.9398</v>
      </c>
      <c r="G78" s="19" t="n">
        <v>2.0042</v>
      </c>
      <c r="H78" s="14" t="inlineStr">
        <is>
          <t>https://global-q.org/uploads/1/2/2/6/122679606/q5_factors_monthly_2024.csv</t>
        </is>
      </c>
    </row>
    <row r="79">
      <c r="A79" s="6" t="inlineStr">
        <is>
          <t>2023-03</t>
        </is>
      </c>
      <c r="B79" s="18" t="n">
        <v>0.3638</v>
      </c>
      <c r="C79" s="18" t="n">
        <v>2.4564</v>
      </c>
      <c r="D79" s="18" t="n">
        <v>-7.7416</v>
      </c>
      <c r="E79" s="18" t="n">
        <v>-3.2627</v>
      </c>
      <c r="F79" s="18" t="n">
        <v>1.1173</v>
      </c>
      <c r="G79" s="18" t="n">
        <v>6.2793</v>
      </c>
      <c r="H79" s="13" t="inlineStr">
        <is>
          <t>https://global-q.org/uploads/1/2/2/6/122679606/q5_factors_monthly_2024.csv</t>
        </is>
      </c>
    </row>
    <row r="80">
      <c r="A80" s="9" t="inlineStr">
        <is>
          <t>2023-04</t>
        </is>
      </c>
      <c r="B80" s="19" t="n">
        <v>0.364</v>
      </c>
      <c r="C80" s="19" t="n">
        <v>0.5939</v>
      </c>
      <c r="D80" s="19" t="n">
        <v>-1.9389</v>
      </c>
      <c r="E80" s="19" t="n">
        <v>3.1023</v>
      </c>
      <c r="F80" s="19" t="n">
        <v>-1.0657</v>
      </c>
      <c r="G80" s="19" t="n">
        <v>-0.7091</v>
      </c>
      <c r="H80" s="14" t="inlineStr">
        <is>
          <t>https://global-q.org/uploads/1/2/2/6/122679606/q5_factors_monthly_2024.csv</t>
        </is>
      </c>
    </row>
    <row r="81">
      <c r="A81" s="6" t="inlineStr">
        <is>
          <t>2023-05</t>
        </is>
      </c>
      <c r="B81" s="18" t="n">
        <v>0.3662</v>
      </c>
      <c r="C81" s="18" t="n">
        <v>0.3413</v>
      </c>
      <c r="D81" s="18" t="n">
        <v>-1.7843</v>
      </c>
      <c r="E81" s="18" t="n">
        <v>-6.9683</v>
      </c>
      <c r="F81" s="18" t="n">
        <v>-1.2287</v>
      </c>
      <c r="G81" s="18" t="n">
        <v>1.6535</v>
      </c>
      <c r="H81" s="13" t="inlineStr">
        <is>
          <t>https://global-q.org/uploads/1/2/2/6/122679606/q5_factors_monthly_2024.csv</t>
        </is>
      </c>
    </row>
    <row r="82">
      <c r="A82" s="9" t="inlineStr">
        <is>
          <t>2023-06</t>
        </is>
      </c>
      <c r="B82" s="19" t="n">
        <v>0.4078</v>
      </c>
      <c r="C82" s="19" t="n">
        <v>6.4559</v>
      </c>
      <c r="D82" s="19" t="n">
        <v>2.742</v>
      </c>
      <c r="E82" s="19" t="n">
        <v>-1.5359</v>
      </c>
      <c r="F82" s="19" t="n">
        <v>4.5498</v>
      </c>
      <c r="G82" s="19" t="n">
        <v>0.4194</v>
      </c>
      <c r="H82" s="14" t="inlineStr">
        <is>
          <t>https://global-q.org/uploads/1/2/2/6/122679606/q5_factors_monthly_2024.csv</t>
        </is>
      </c>
    </row>
    <row r="83">
      <c r="A83" s="6" t="inlineStr">
        <is>
          <t>2023-07</t>
        </is>
      </c>
      <c r="B83" s="18" t="n">
        <v>0.4391</v>
      </c>
      <c r="C83" s="18" t="n">
        <v>3.2234</v>
      </c>
      <c r="D83" s="18" t="n">
        <v>1.6394</v>
      </c>
      <c r="E83" s="18" t="n">
        <v>-0.1962</v>
      </c>
      <c r="F83" s="18" t="n">
        <v>-0.5115</v>
      </c>
      <c r="G83" s="18" t="n">
        <v>-0.7733</v>
      </c>
      <c r="H83" s="13" t="inlineStr">
        <is>
          <t>https://global-q.org/uploads/1/2/2/6/122679606/q5_factors_monthly_2024.csv</t>
        </is>
      </c>
    </row>
    <row r="84">
      <c r="A84" s="9" t="inlineStr">
        <is>
          <t>2023-08</t>
        </is>
      </c>
      <c r="B84" s="19" t="n">
        <v>0.4537</v>
      </c>
      <c r="C84" s="19" t="n">
        <v>-2.3874</v>
      </c>
      <c r="D84" s="19" t="n">
        <v>-2.4532</v>
      </c>
      <c r="E84" s="19" t="n">
        <v>-1.234</v>
      </c>
      <c r="F84" s="19" t="n">
        <v>5.0483</v>
      </c>
      <c r="G84" s="19" t="n">
        <v>5.1348</v>
      </c>
      <c r="H84" s="14" t="inlineStr">
        <is>
          <t>https://global-q.org/uploads/1/2/2/6/122679606/q5_factors_monthly_2024.csv</t>
        </is>
      </c>
    </row>
    <row r="85">
      <c r="A85" s="6" t="inlineStr">
        <is>
          <t>2023-09</t>
        </is>
      </c>
      <c r="B85" s="18" t="n">
        <v>0.4267</v>
      </c>
      <c r="C85" s="18" t="n">
        <v>-5.2386</v>
      </c>
      <c r="D85" s="18" t="n">
        <v>-0.1177</v>
      </c>
      <c r="E85" s="18" t="n">
        <v>-0.4879</v>
      </c>
      <c r="F85" s="18" t="n">
        <v>3.3773</v>
      </c>
      <c r="G85" s="18" t="n">
        <v>2.7151</v>
      </c>
      <c r="H85" s="13" t="inlineStr">
        <is>
          <t>https://global-q.org/uploads/1/2/2/6/122679606/q5_factors_monthly_2024.csv</t>
        </is>
      </c>
    </row>
    <row r="86">
      <c r="A86" s="9" t="inlineStr">
        <is>
          <t>2023-10</t>
        </is>
      </c>
      <c r="B86" s="19" t="n">
        <v>0.4715</v>
      </c>
      <c r="C86" s="19" t="n">
        <v>-3.1784</v>
      </c>
      <c r="D86" s="19" t="n">
        <v>-2.6286</v>
      </c>
      <c r="E86" s="19" t="n">
        <v>-0.4588</v>
      </c>
      <c r="F86" s="19" t="n">
        <v>5.6473</v>
      </c>
      <c r="G86" s="19" t="n">
        <v>4.6182</v>
      </c>
      <c r="H86" s="14" t="inlineStr">
        <is>
          <t>https://global-q.org/uploads/1/2/2/6/122679606/q5_factors_monthly_2024.csv</t>
        </is>
      </c>
    </row>
    <row r="87">
      <c r="A87" s="6" t="inlineStr">
        <is>
          <t>2023-11</t>
        </is>
      </c>
      <c r="B87" s="18" t="n">
        <v>0.4424</v>
      </c>
      <c r="C87" s="18" t="n">
        <v>8.863899999999999</v>
      </c>
      <c r="D87" s="18" t="n">
        <v>-0.7638</v>
      </c>
      <c r="E87" s="18" t="n">
        <v>-2.3272</v>
      </c>
      <c r="F87" s="18" t="n">
        <v>-3.6413</v>
      </c>
      <c r="G87" s="18" t="n">
        <v>-2.6912</v>
      </c>
      <c r="H87" s="13" t="inlineStr">
        <is>
          <t>https://global-q.org/uploads/1/2/2/6/122679606/q5_factors_monthly_2024.csv</t>
        </is>
      </c>
    </row>
    <row r="88">
      <c r="A88" s="9" t="inlineStr">
        <is>
          <t>2023-12</t>
        </is>
      </c>
      <c r="B88" s="19" t="n">
        <v>0.4266</v>
      </c>
      <c r="C88" s="19" t="n">
        <v>4.8696</v>
      </c>
      <c r="D88" s="19" t="n">
        <v>5.2012</v>
      </c>
      <c r="E88" s="19" t="n">
        <v>0.2133</v>
      </c>
      <c r="F88" s="19" t="n">
        <v>-4.1255</v>
      </c>
      <c r="G88" s="19" t="n">
        <v>-4.0302</v>
      </c>
      <c r="H88" s="14" t="inlineStr">
        <is>
          <t>https://global-q.org/uploads/1/2/2/6/122679606/q5_factors_monthly_2024.csv</t>
        </is>
      </c>
    </row>
    <row r="89">
      <c r="A89" s="6" t="inlineStr">
        <is>
          <t>2024-01</t>
        </is>
      </c>
      <c r="B89" s="18" t="n">
        <v>0.4729</v>
      </c>
      <c r="C89" s="18" t="n">
        <v>0.7014</v>
      </c>
      <c r="D89" s="18" t="n">
        <v>-4.8245</v>
      </c>
      <c r="E89" s="18" t="n">
        <v>0.4218</v>
      </c>
      <c r="F89" s="18" t="n">
        <v>1.9675</v>
      </c>
      <c r="G89" s="18" t="n">
        <v>3.7863</v>
      </c>
      <c r="H89" s="13" t="inlineStr">
        <is>
          <t>https://global-q.org/uploads/1/2/2/6/122679606/q5_factors_monthly_2024.csv</t>
        </is>
      </c>
    </row>
    <row r="90">
      <c r="A90" s="9" t="inlineStr">
        <is>
          <t>2024-02</t>
        </is>
      </c>
      <c r="B90" s="19" t="n">
        <v>0.4224</v>
      </c>
      <c r="C90" s="19" t="n">
        <v>5.0654</v>
      </c>
      <c r="D90" s="19" t="n">
        <v>1.2192</v>
      </c>
      <c r="E90" s="19" t="n">
        <v>-1.9735</v>
      </c>
      <c r="F90" s="19" t="n">
        <v>0.089</v>
      </c>
      <c r="G90" s="19" t="n">
        <v>-1.9019</v>
      </c>
      <c r="H90" s="14" t="inlineStr">
        <is>
          <t>https://global-q.org/uploads/1/2/2/6/122679606/q5_factors_monthly_2024.csv</t>
        </is>
      </c>
    </row>
    <row r="91">
      <c r="A91" s="6" t="inlineStr">
        <is>
          <t>2024-03</t>
        </is>
      </c>
      <c r="B91" s="18" t="n">
        <v>0.4157</v>
      </c>
      <c r="C91" s="18" t="n">
        <v>2.8403</v>
      </c>
      <c r="D91" s="18" t="n">
        <v>-0.7905</v>
      </c>
      <c r="E91" s="18" t="n">
        <v>0.4476</v>
      </c>
      <c r="F91" s="18" t="n">
        <v>1.1306</v>
      </c>
      <c r="G91" s="18" t="n">
        <v>-2.0875</v>
      </c>
      <c r="H91" s="13" t="inlineStr">
        <is>
          <t>https://global-q.org/uploads/1/2/2/6/122679606/q5_factors_monthly_2024.csv</t>
        </is>
      </c>
    </row>
    <row r="92">
      <c r="A92" s="9" t="inlineStr">
        <is>
          <t>2024-04</t>
        </is>
      </c>
      <c r="B92" s="19" t="n">
        <v>0.4864</v>
      </c>
      <c r="C92" s="19" t="n">
        <v>-4.687</v>
      </c>
      <c r="D92" s="19" t="n">
        <v>-2.9976</v>
      </c>
      <c r="E92" s="19" t="n">
        <v>-0.9161</v>
      </c>
      <c r="F92" s="19" t="n">
        <v>1.7953</v>
      </c>
      <c r="G92" s="19" t="n">
        <v>1.3054</v>
      </c>
      <c r="H92" s="14" t="inlineStr">
        <is>
          <t>https://global-q.org/uploads/1/2/2/6/122679606/q5_factors_monthly_2024.csv</t>
        </is>
      </c>
    </row>
    <row r="93">
      <c r="A93" s="6" t="inlineStr">
        <is>
          <t>2024-05</t>
        </is>
      </c>
      <c r="B93" s="18" t="n">
        <v>0.4415</v>
      </c>
      <c r="C93" s="18" t="n">
        <v>4.3262</v>
      </c>
      <c r="D93" s="18" t="n">
        <v>2.9438</v>
      </c>
      <c r="E93" s="18" t="n">
        <v>-1.0645</v>
      </c>
      <c r="F93" s="18" t="n">
        <v>4.506</v>
      </c>
      <c r="G93" s="18" t="n">
        <v>2.4258</v>
      </c>
      <c r="H93" s="13" t="inlineStr">
        <is>
          <t>https://global-q.org/uploads/1/2/2/6/122679606/q5_factors_monthly_2024.csv</t>
        </is>
      </c>
    </row>
    <row r="94">
      <c r="A94" s="9" t="inlineStr">
        <is>
          <t>2024-06</t>
        </is>
      </c>
      <c r="B94" s="19" t="n">
        <v>0.4125</v>
      </c>
      <c r="C94" s="19" t="n">
        <v>2.7699</v>
      </c>
      <c r="D94" s="19" t="n">
        <v>-4.8267</v>
      </c>
      <c r="E94" s="19" t="n">
        <v>-0.5782</v>
      </c>
      <c r="F94" s="19" t="n">
        <v>2.3517</v>
      </c>
      <c r="G94" s="19" t="n">
        <v>4.9059</v>
      </c>
      <c r="H94" s="14" t="inlineStr">
        <is>
          <t>https://global-q.org/uploads/1/2/2/6/122679606/q5_factors_monthly_2024.csv</t>
        </is>
      </c>
    </row>
    <row r="95">
      <c r="A95" s="6" t="inlineStr">
        <is>
          <t>2024-07</t>
        </is>
      </c>
      <c r="B95" s="18" t="n">
        <v>0.4711</v>
      </c>
      <c r="C95" s="18" t="n">
        <v>1.2169</v>
      </c>
      <c r="D95" s="18" t="n">
        <v>7.5712</v>
      </c>
      <c r="E95" s="18" t="n">
        <v>1.2441</v>
      </c>
      <c r="F95" s="18" t="n">
        <v>-0.1571</v>
      </c>
      <c r="G95" s="18" t="n">
        <v>-3.1322</v>
      </c>
      <c r="H95" s="13" t="inlineStr">
        <is>
          <t>https://global-q.org/uploads/1/2/2/6/122679606/q5_factors_monthly_2024.csv</t>
        </is>
      </c>
    </row>
    <row r="96">
      <c r="A96" s="9" t="inlineStr">
        <is>
          <t>2024-08</t>
        </is>
      </c>
      <c r="B96" s="19" t="n">
        <v>0.4419</v>
      </c>
      <c r="C96" s="19" t="n">
        <v>1.6518</v>
      </c>
      <c r="D96" s="19" t="n">
        <v>-4.0817</v>
      </c>
      <c r="E96" s="19" t="n">
        <v>0.4687</v>
      </c>
      <c r="F96" s="19" t="n">
        <v>1.8369</v>
      </c>
      <c r="G96" s="19" t="n">
        <v>0.8116</v>
      </c>
      <c r="H96" s="14" t="inlineStr">
        <is>
          <t>https://global-q.org/uploads/1/2/2/6/122679606/q5_factors_monthly_2024.csv</t>
        </is>
      </c>
    </row>
    <row r="97">
      <c r="A97" s="6" t="inlineStr">
        <is>
          <t>2024-09</t>
        </is>
      </c>
      <c r="B97" s="18" t="n">
        <v>0.4619</v>
      </c>
      <c r="C97" s="18" t="n">
        <v>1.6806</v>
      </c>
      <c r="D97" s="18" t="n">
        <v>-1.1967</v>
      </c>
      <c r="E97" s="18" t="n">
        <v>-0.001</v>
      </c>
      <c r="F97" s="18" t="n">
        <v>0.7408</v>
      </c>
      <c r="G97" s="18" t="n">
        <v>-3.281</v>
      </c>
      <c r="H97" s="13" t="inlineStr">
        <is>
          <t>https://global-q.org/uploads/1/2/2/6/122679606/q5_factors_monthly_2024.csv</t>
        </is>
      </c>
    </row>
    <row r="98">
      <c r="A98" s="9" t="inlineStr">
        <is>
          <t>2024-10</t>
        </is>
      </c>
      <c r="B98" s="19" t="n">
        <v>0.3907</v>
      </c>
      <c r="C98" s="19" t="n">
        <v>-0.9701</v>
      </c>
      <c r="D98" s="19" t="n">
        <v>-1.1261</v>
      </c>
      <c r="E98" s="19" t="n">
        <v>-1.1676</v>
      </c>
      <c r="F98" s="19" t="n">
        <v>-0.2314</v>
      </c>
      <c r="G98" s="19" t="n">
        <v>-0.8335</v>
      </c>
      <c r="H98" s="14" t="inlineStr">
        <is>
          <t>https://global-q.org/uploads/1/2/2/6/122679606/q5_factors_monthly_2024.csv</t>
        </is>
      </c>
    </row>
    <row r="99">
      <c r="A99" s="6" t="inlineStr">
        <is>
          <t>2024-11</t>
        </is>
      </c>
      <c r="B99" s="18" t="n">
        <v>0.3955</v>
      </c>
      <c r="C99" s="18" t="n">
        <v>6.5002</v>
      </c>
      <c r="D99" s="18" t="n">
        <v>4.3985</v>
      </c>
      <c r="E99" s="18" t="n">
        <v>-4.9491</v>
      </c>
      <c r="F99" s="18" t="n">
        <v>-1.537</v>
      </c>
      <c r="G99" s="18" t="n">
        <v>-2.142</v>
      </c>
      <c r="H99" s="13" t="inlineStr">
        <is>
          <t>https://global-q.org/uploads/1/2/2/6/122679606/q5_factors_monthly_2024.csv</t>
        </is>
      </c>
    </row>
    <row r="100">
      <c r="A100" s="9" t="inlineStr">
        <is>
          <t>2024-12</t>
        </is>
      </c>
      <c r="B100" s="19" t="n">
        <v>0.3663</v>
      </c>
      <c r="C100" s="19" t="n">
        <v>-3.1637</v>
      </c>
      <c r="D100" s="19" t="n">
        <v>-5.1564</v>
      </c>
      <c r="E100" s="19" t="n">
        <v>-0.3684</v>
      </c>
      <c r="F100" s="19" t="n">
        <v>-2.1442</v>
      </c>
      <c r="G100" s="19" t="n">
        <v>4.9624</v>
      </c>
      <c r="H100" s="14" t="inlineStr">
        <is>
          <t>https://global-q.org/uploads/1/2/2/6/122679606/q5_factors_monthly_2024.csv</t>
        </is>
      </c>
    </row>
  </sheetData>
  <autoFilter ref="A4:H100"/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</hyperlinks>
  <pageMargins left="0.35" right="0.35" top="0.5" bottom="0.5" header="0.5" footer="0.5"/>
  <pageSetup fitToHeight="0" fitToWidth="1"/>
  <headerFooter>
    <oddHeader/>
    <oddFooter>&amp;CPrepared by Harman Singh for Professor Phelim Boyle&amp;RPage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00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9" customWidth="1" min="4" max="4"/>
    <col width="20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7" customHeight="1">
      <c r="A1" s="1" t="inlineStr">
        <is>
          <t>Aligned Regression Data</t>
        </is>
      </c>
    </row>
    <row r="2" ht="30" customHeight="1">
      <c r="A2" s="2" t="inlineStr">
        <is>
          <t>Explicit year-month merge of Fund X and official q5 inputs; values are in percent</t>
        </is>
      </c>
    </row>
    <row r="4" ht="30" customHeight="1">
      <c r="A4" s="5" t="inlineStr">
        <is>
          <t>Date</t>
        </is>
      </c>
      <c r="B4" s="5" t="inlineStr">
        <is>
          <t>Fund X raw</t>
        </is>
      </c>
      <c r="C4" s="5" t="inlineStr">
        <is>
          <t>R_F</t>
        </is>
      </c>
      <c r="D4" s="5" t="inlineStr">
        <is>
          <t>Excess return formula</t>
        </is>
      </c>
      <c r="E4" s="5" t="inlineStr">
        <is>
          <t>Excess return verified</t>
        </is>
      </c>
      <c r="F4" s="5" t="inlineStr">
        <is>
          <t>Difference check</t>
        </is>
      </c>
      <c r="G4" s="5" t="inlineStr">
        <is>
          <t>R_MKT</t>
        </is>
      </c>
      <c r="H4" s="5" t="inlineStr">
        <is>
          <t>R_ME</t>
        </is>
      </c>
      <c r="I4" s="5" t="inlineStr">
        <is>
          <t>R_IA</t>
        </is>
      </c>
      <c r="J4" s="5" t="inlineStr">
        <is>
          <t>R_ROE</t>
        </is>
      </c>
      <c r="K4" s="5" t="inlineStr">
        <is>
          <t>R_EG</t>
        </is>
      </c>
    </row>
    <row r="5">
      <c r="A5" s="6" t="inlineStr">
        <is>
          <t>2017-01</t>
        </is>
      </c>
      <c r="B5" s="18" t="n">
        <v>2.14</v>
      </c>
      <c r="C5" s="18" t="n">
        <v>0.0358</v>
      </c>
      <c r="D5" s="18">
        <f>B5-C5</f>
        <v/>
      </c>
      <c r="E5" s="18" t="n">
        <v>2.1042</v>
      </c>
      <c r="F5" s="18">
        <f>D5-E5</f>
        <v/>
      </c>
      <c r="G5" s="18" t="n">
        <v>1.937</v>
      </c>
      <c r="H5" s="18" t="n">
        <v>-1.8672</v>
      </c>
      <c r="I5" s="18" t="n">
        <v>-2.0241</v>
      </c>
      <c r="J5" s="18" t="n">
        <v>-1.3102</v>
      </c>
      <c r="K5" s="18" t="n">
        <v>0.6218</v>
      </c>
    </row>
    <row r="6">
      <c r="A6" s="9" t="inlineStr">
        <is>
          <t>2017-02</t>
        </is>
      </c>
      <c r="B6" s="19" t="n">
        <v>3.95</v>
      </c>
      <c r="C6" s="19" t="n">
        <v>0.0364</v>
      </c>
      <c r="D6" s="19">
        <f>B6-C6</f>
        <v/>
      </c>
      <c r="E6" s="19" t="n">
        <v>3.9136</v>
      </c>
      <c r="F6" s="19">
        <f>D6-E6</f>
        <v/>
      </c>
      <c r="G6" s="19" t="n">
        <v>3.5584</v>
      </c>
      <c r="H6" s="19" t="n">
        <v>-1.6698</v>
      </c>
      <c r="I6" s="19" t="n">
        <v>-2.2401</v>
      </c>
      <c r="J6" s="19" t="n">
        <v>2.0078</v>
      </c>
      <c r="K6" s="19" t="n">
        <v>2.4406</v>
      </c>
    </row>
    <row r="7">
      <c r="A7" s="6" t="inlineStr">
        <is>
          <t>2017-03</t>
        </is>
      </c>
      <c r="B7" s="18" t="n">
        <v>3.43</v>
      </c>
      <c r="C7" s="18" t="n">
        <v>0.0353</v>
      </c>
      <c r="D7" s="18">
        <f>B7-C7</f>
        <v/>
      </c>
      <c r="E7" s="18" t="n">
        <v>3.3947</v>
      </c>
      <c r="F7" s="18">
        <f>D7-E7</f>
        <v/>
      </c>
      <c r="G7" s="18" t="n">
        <v>0.167</v>
      </c>
      <c r="H7" s="18" t="n">
        <v>1.2536</v>
      </c>
      <c r="I7" s="18" t="n">
        <v>-1.2934</v>
      </c>
      <c r="J7" s="18" t="n">
        <v>1.9001</v>
      </c>
      <c r="K7" s="18" t="n">
        <v>1.1901</v>
      </c>
    </row>
    <row r="8">
      <c r="A8" s="9" t="inlineStr">
        <is>
          <t>2017-04</t>
        </is>
      </c>
      <c r="B8" s="19" t="n">
        <v>2.19</v>
      </c>
      <c r="C8" s="19" t="n">
        <v>0.0537</v>
      </c>
      <c r="D8" s="19">
        <f>B8-C8</f>
        <v/>
      </c>
      <c r="E8" s="19" t="n">
        <v>2.1363</v>
      </c>
      <c r="F8" s="19">
        <f>D8-E8</f>
        <v/>
      </c>
      <c r="G8" s="19" t="n">
        <v>1.0875</v>
      </c>
      <c r="H8" s="19" t="n">
        <v>0.6004</v>
      </c>
      <c r="I8" s="19" t="n">
        <v>-1.5686</v>
      </c>
      <c r="J8" s="19" t="n">
        <v>1.0154</v>
      </c>
      <c r="K8" s="19" t="n">
        <v>1.6122</v>
      </c>
    </row>
    <row r="9">
      <c r="A9" s="6" t="inlineStr">
        <is>
          <t>2017-05</t>
        </is>
      </c>
      <c r="B9" s="18" t="n">
        <v>8.129999999999999</v>
      </c>
      <c r="C9" s="18" t="n">
        <v>0.0614</v>
      </c>
      <c r="D9" s="18">
        <f>B9-C9</f>
        <v/>
      </c>
      <c r="E9" s="18" t="n">
        <v>8.068599999999998</v>
      </c>
      <c r="F9" s="18">
        <f>D9-E9</f>
        <v/>
      </c>
      <c r="G9" s="18" t="n">
        <v>1.0635</v>
      </c>
      <c r="H9" s="18" t="n">
        <v>-2.572</v>
      </c>
      <c r="I9" s="18" t="n">
        <v>-1.559</v>
      </c>
      <c r="J9" s="18" t="n">
        <v>1.3157</v>
      </c>
      <c r="K9" s="18" t="n">
        <v>2.635</v>
      </c>
    </row>
    <row r="10">
      <c r="A10" s="9" t="inlineStr">
        <is>
          <t>2017-06</t>
        </is>
      </c>
      <c r="B10" s="19" t="n">
        <v>-0.34999999999999</v>
      </c>
      <c r="C10" s="19" t="n">
        <v>0.0617</v>
      </c>
      <c r="D10" s="19">
        <f>B10-C10</f>
        <v/>
      </c>
      <c r="E10" s="19" t="n">
        <v>-0.41169999999999</v>
      </c>
      <c r="F10" s="19">
        <f>D10-E10</f>
        <v/>
      </c>
      <c r="G10" s="19" t="n">
        <v>0.7961</v>
      </c>
      <c r="H10" s="19" t="n">
        <v>3.0521</v>
      </c>
      <c r="I10" s="19" t="n">
        <v>-0.5345</v>
      </c>
      <c r="J10" s="19" t="n">
        <v>-1.3137</v>
      </c>
      <c r="K10" s="19" t="n">
        <v>-1.8924</v>
      </c>
    </row>
    <row r="11">
      <c r="A11" s="6" t="inlineStr">
        <is>
          <t>2017-07</t>
        </is>
      </c>
      <c r="B11" s="18" t="n">
        <v>1.52</v>
      </c>
      <c r="C11" s="18" t="n">
        <v>0.0722</v>
      </c>
      <c r="D11" s="18">
        <f>B11-C11</f>
        <v/>
      </c>
      <c r="E11" s="18" t="n">
        <v>1.4478</v>
      </c>
      <c r="F11" s="18">
        <f>D11-E11</f>
        <v/>
      </c>
      <c r="G11" s="18" t="n">
        <v>1.8659</v>
      </c>
      <c r="H11" s="18" t="n">
        <v>-1.1236</v>
      </c>
      <c r="I11" s="18" t="n">
        <v>-0.4271</v>
      </c>
      <c r="J11" s="18" t="n">
        <v>1.5283</v>
      </c>
      <c r="K11" s="18" t="n">
        <v>1.0275</v>
      </c>
    </row>
    <row r="12">
      <c r="A12" s="9" t="inlineStr">
        <is>
          <t>2017-08</t>
        </is>
      </c>
      <c r="B12" s="19" t="n">
        <v>-1.26</v>
      </c>
      <c r="C12" s="19" t="n">
        <v>0.0827</v>
      </c>
      <c r="D12" s="19">
        <f>B12-C12</f>
        <v/>
      </c>
      <c r="E12" s="19" t="n">
        <v>-1.3427</v>
      </c>
      <c r="F12" s="19">
        <f>D12-E12</f>
        <v/>
      </c>
      <c r="G12" s="19" t="n">
        <v>0.1618</v>
      </c>
      <c r="H12" s="19" t="n">
        <v>-1.4574</v>
      </c>
      <c r="I12" s="19" t="n">
        <v>-2.8822</v>
      </c>
      <c r="J12" s="19" t="n">
        <v>0.3922</v>
      </c>
      <c r="K12" s="19" t="n">
        <v>1.5105</v>
      </c>
    </row>
    <row r="13">
      <c r="A13" s="6" t="inlineStr">
        <is>
          <t>2017-09</t>
        </is>
      </c>
      <c r="B13" s="18" t="n">
        <v>3.330000000000001</v>
      </c>
      <c r="C13" s="18" t="n">
        <v>0.0944</v>
      </c>
      <c r="D13" s="18">
        <f>B13-C13</f>
        <v/>
      </c>
      <c r="E13" s="18" t="n">
        <v>3.235600000000001</v>
      </c>
      <c r="F13" s="18">
        <f>D13-E13</f>
        <v/>
      </c>
      <c r="G13" s="18" t="n">
        <v>2.506</v>
      </c>
      <c r="H13" s="18" t="n">
        <v>4.912</v>
      </c>
      <c r="I13" s="18" t="n">
        <v>3.1438</v>
      </c>
      <c r="J13" s="18" t="n">
        <v>0.4345</v>
      </c>
      <c r="K13" s="18" t="n">
        <v>-1.753</v>
      </c>
    </row>
    <row r="14">
      <c r="A14" s="9" t="inlineStr">
        <is>
          <t>2017-10</t>
        </is>
      </c>
      <c r="B14" s="19" t="n">
        <v>1.77</v>
      </c>
      <c r="C14" s="19" t="n">
        <v>0.08400000000000001</v>
      </c>
      <c r="D14" s="19">
        <f>B14-C14</f>
        <v/>
      </c>
      <c r="E14" s="19" t="n">
        <v>1.686</v>
      </c>
      <c r="F14" s="19">
        <f>D14-E14</f>
        <v/>
      </c>
      <c r="G14" s="19" t="n">
        <v>2.2515</v>
      </c>
      <c r="H14" s="19" t="n">
        <v>-1.3342</v>
      </c>
      <c r="I14" s="19" t="n">
        <v>-3.3036</v>
      </c>
      <c r="J14" s="19" t="n">
        <v>1.3833</v>
      </c>
      <c r="K14" s="19" t="n">
        <v>2.8975</v>
      </c>
    </row>
    <row r="15">
      <c r="A15" s="6" t="inlineStr">
        <is>
          <t>2017-11</t>
        </is>
      </c>
      <c r="B15" s="18" t="n">
        <v>3.73</v>
      </c>
      <c r="C15" s="18" t="n">
        <v>0.08260000000000001</v>
      </c>
      <c r="D15" s="18">
        <f>B15-C15</f>
        <v/>
      </c>
      <c r="E15" s="18" t="n">
        <v>3.6474</v>
      </c>
      <c r="F15" s="18">
        <f>D15-E15</f>
        <v/>
      </c>
      <c r="G15" s="18" t="n">
        <v>3.1198</v>
      </c>
      <c r="H15" s="18" t="n">
        <v>0.2129</v>
      </c>
      <c r="I15" s="18" t="n">
        <v>-0.4942</v>
      </c>
      <c r="J15" s="18" t="n">
        <v>1.8838</v>
      </c>
      <c r="K15" s="18" t="n">
        <v>1.1959</v>
      </c>
    </row>
    <row r="16">
      <c r="A16" s="9" t="inlineStr">
        <is>
          <t>2017-12</t>
        </is>
      </c>
      <c r="B16" s="19" t="n">
        <v>7.75</v>
      </c>
      <c r="C16" s="19" t="n">
        <v>0.08840000000000001</v>
      </c>
      <c r="D16" s="19">
        <f>B16-C16</f>
        <v/>
      </c>
      <c r="E16" s="19" t="n">
        <v>7.6616</v>
      </c>
      <c r="F16" s="19">
        <f>D16-E16</f>
        <v/>
      </c>
      <c r="G16" s="19" t="n">
        <v>1.0534</v>
      </c>
      <c r="H16" s="19" t="n">
        <v>-0.9099</v>
      </c>
      <c r="I16" s="19" t="n">
        <v>1.7421</v>
      </c>
      <c r="J16" s="19" t="n">
        <v>0.3374</v>
      </c>
      <c r="K16" s="19" t="n">
        <v>-1.0759</v>
      </c>
    </row>
    <row r="17">
      <c r="A17" s="6" t="inlineStr">
        <is>
          <t>2018-01</t>
        </is>
      </c>
      <c r="B17" s="18" t="n">
        <v>5.2</v>
      </c>
      <c r="C17" s="18" t="n">
        <v>0.1121</v>
      </c>
      <c r="D17" s="18">
        <f>B17-C17</f>
        <v/>
      </c>
      <c r="E17" s="18" t="n">
        <v>5.0879</v>
      </c>
      <c r="F17" s="18">
        <f>D17-E17</f>
        <v/>
      </c>
      <c r="G17" s="18" t="n">
        <v>5.576</v>
      </c>
      <c r="H17" s="18" t="n">
        <v>-2.7684</v>
      </c>
      <c r="I17" s="18" t="n">
        <v>-1.293</v>
      </c>
      <c r="J17" s="18" t="n">
        <v>-1.2809</v>
      </c>
      <c r="K17" s="18" t="n">
        <v>2.6048</v>
      </c>
    </row>
    <row r="18">
      <c r="A18" s="9" t="inlineStr">
        <is>
          <t>2018-02</t>
        </is>
      </c>
      <c r="B18" s="19" t="n">
        <v>4.279999999999999</v>
      </c>
      <c r="C18" s="19" t="n">
        <v>0.1073</v>
      </c>
      <c r="D18" s="19">
        <f>B18-C18</f>
        <v/>
      </c>
      <c r="E18" s="19" t="n">
        <v>4.172699999999999</v>
      </c>
      <c r="F18" s="19">
        <f>D18-E18</f>
        <v/>
      </c>
      <c r="G18" s="19" t="n">
        <v>-3.6447</v>
      </c>
      <c r="H18" s="19" t="n">
        <v>0.1829</v>
      </c>
      <c r="I18" s="19" t="n">
        <v>-1.6974</v>
      </c>
      <c r="J18" s="19" t="n">
        <v>-0.7708</v>
      </c>
      <c r="K18" s="19" t="n">
        <v>4.4591</v>
      </c>
    </row>
    <row r="19">
      <c r="A19" s="6" t="inlineStr">
        <is>
          <t>2018-03</t>
        </is>
      </c>
      <c r="B19" s="18" t="n">
        <v>2.1</v>
      </c>
      <c r="C19" s="18" t="n">
        <v>0.0261</v>
      </c>
      <c r="D19" s="18">
        <f>B19-C19</f>
        <v/>
      </c>
      <c r="E19" s="18" t="n">
        <v>2.0739</v>
      </c>
      <c r="F19" s="18">
        <f>D19-E19</f>
        <v/>
      </c>
      <c r="G19" s="18" t="n">
        <v>-2.2549</v>
      </c>
      <c r="H19" s="18" t="n">
        <v>2.8006</v>
      </c>
      <c r="I19" s="18" t="n">
        <v>-0.1118</v>
      </c>
      <c r="J19" s="18" t="n">
        <v>0.1524</v>
      </c>
      <c r="K19" s="18" t="n">
        <v>0.4776</v>
      </c>
    </row>
    <row r="20">
      <c r="A20" s="9" t="inlineStr">
        <is>
          <t>2018-04</t>
        </is>
      </c>
      <c r="B20" s="19" t="n">
        <v>2.46</v>
      </c>
      <c r="C20" s="19" t="n">
        <v>0.1433</v>
      </c>
      <c r="D20" s="19">
        <f>B20-C20</f>
        <v/>
      </c>
      <c r="E20" s="19" t="n">
        <v>2.3167</v>
      </c>
      <c r="F20" s="19">
        <f>D20-E20</f>
        <v/>
      </c>
      <c r="G20" s="19" t="n">
        <v>0.2834</v>
      </c>
      <c r="H20" s="19" t="n">
        <v>0.2773</v>
      </c>
      <c r="I20" s="19" t="n">
        <v>1.5885</v>
      </c>
      <c r="J20" s="19" t="n">
        <v>-0.0349</v>
      </c>
      <c r="K20" s="19" t="n">
        <v>-0.8631</v>
      </c>
    </row>
    <row r="21">
      <c r="A21" s="6" t="inlineStr">
        <is>
          <t>2018-05</t>
        </is>
      </c>
      <c r="B21" s="18" t="n">
        <v>4.82</v>
      </c>
      <c r="C21" s="18" t="n">
        <v>0.1401</v>
      </c>
      <c r="D21" s="18">
        <f>B21-C21</f>
        <v/>
      </c>
      <c r="E21" s="18" t="n">
        <v>4.6799</v>
      </c>
      <c r="F21" s="18">
        <f>D21-E21</f>
        <v/>
      </c>
      <c r="G21" s="18" t="n">
        <v>2.6476</v>
      </c>
      <c r="H21" s="18" t="n">
        <v>4.9662</v>
      </c>
      <c r="I21" s="18" t="n">
        <v>-0.9604</v>
      </c>
      <c r="J21" s="18" t="n">
        <v>-1.7579</v>
      </c>
      <c r="K21" s="18" t="n">
        <v>2.3034</v>
      </c>
    </row>
    <row r="22">
      <c r="A22" s="9" t="inlineStr">
        <is>
          <t>2018-06</t>
        </is>
      </c>
      <c r="B22" s="19" t="n">
        <v>4.54</v>
      </c>
      <c r="C22" s="19" t="n">
        <v>0.1408</v>
      </c>
      <c r="D22" s="19">
        <f>B22-C22</f>
        <v/>
      </c>
      <c r="E22" s="19" t="n">
        <v>4.3992</v>
      </c>
      <c r="F22" s="19">
        <f>D22-E22</f>
        <v/>
      </c>
      <c r="G22" s="19" t="n">
        <v>0.4891</v>
      </c>
      <c r="H22" s="19" t="n">
        <v>0.6131</v>
      </c>
      <c r="I22" s="19" t="n">
        <v>-0.3933</v>
      </c>
      <c r="J22" s="19" t="n">
        <v>1.4069</v>
      </c>
      <c r="K22" s="19" t="n">
        <v>0.09669999999999999</v>
      </c>
    </row>
    <row r="23">
      <c r="A23" s="6" t="inlineStr">
        <is>
          <t>2018-07</t>
        </is>
      </c>
      <c r="B23" s="18" t="n">
        <v>5.55</v>
      </c>
      <c r="C23" s="18" t="n">
        <v>0.1558</v>
      </c>
      <c r="D23" s="18">
        <f>B23-C23</f>
        <v/>
      </c>
      <c r="E23" s="18" t="n">
        <v>5.3942</v>
      </c>
      <c r="F23" s="18">
        <f>D23-E23</f>
        <v/>
      </c>
      <c r="G23" s="18" t="n">
        <v>3.1971</v>
      </c>
      <c r="H23" s="18" t="n">
        <v>-1.3016</v>
      </c>
      <c r="I23" s="18" t="n">
        <v>0.4683</v>
      </c>
      <c r="J23" s="18" t="n">
        <v>1.9789</v>
      </c>
      <c r="K23" s="18" t="n">
        <v>1.4037</v>
      </c>
    </row>
    <row r="24">
      <c r="A24" s="9" t="inlineStr">
        <is>
          <t>2018-08</t>
        </is>
      </c>
      <c r="B24" s="19" t="n">
        <v>6.460000000000001</v>
      </c>
      <c r="C24" s="19" t="n">
        <v>0.1575</v>
      </c>
      <c r="D24" s="19">
        <f>B24-C24</f>
        <v/>
      </c>
      <c r="E24" s="19" t="n">
        <v>6.302500000000001</v>
      </c>
      <c r="F24" s="19">
        <f>D24-E24</f>
        <v/>
      </c>
      <c r="G24" s="19" t="n">
        <v>3.4468</v>
      </c>
      <c r="H24" s="19" t="n">
        <v>1.5026</v>
      </c>
      <c r="I24" s="19" t="n">
        <v>-2.4114</v>
      </c>
      <c r="J24" s="19" t="n">
        <v>0.3614</v>
      </c>
      <c r="K24" s="19" t="n">
        <v>4.3046</v>
      </c>
    </row>
    <row r="25">
      <c r="A25" s="6" t="inlineStr">
        <is>
          <t>2018-09</t>
        </is>
      </c>
      <c r="B25" s="18" t="n">
        <v>18.18</v>
      </c>
      <c r="C25" s="18" t="n">
        <v>0.149</v>
      </c>
      <c r="D25" s="18">
        <f>B25-C25</f>
        <v/>
      </c>
      <c r="E25" s="18" t="n">
        <v>18.031</v>
      </c>
      <c r="F25" s="18">
        <f>D25-E25</f>
        <v/>
      </c>
      <c r="G25" s="18" t="n">
        <v>0.0593</v>
      </c>
      <c r="H25" s="18" t="n">
        <v>-3.0996</v>
      </c>
      <c r="I25" s="18" t="n">
        <v>1.452</v>
      </c>
      <c r="J25" s="18" t="n">
        <v>0.7173</v>
      </c>
      <c r="K25" s="18" t="n">
        <v>1.0672</v>
      </c>
    </row>
    <row r="26">
      <c r="A26" s="9" t="inlineStr">
        <is>
          <t>2018-10</t>
        </is>
      </c>
      <c r="B26" s="19" t="n">
        <v>7.519999999999991</v>
      </c>
      <c r="C26" s="19" t="n">
        <v>0.189</v>
      </c>
      <c r="D26" s="19">
        <f>B26-C26</f>
        <v/>
      </c>
      <c r="E26" s="19" t="n">
        <v>7.330999999999991</v>
      </c>
      <c r="F26" s="19">
        <f>D26-E26</f>
        <v/>
      </c>
      <c r="G26" s="19" t="n">
        <v>-7.6459</v>
      </c>
      <c r="H26" s="19" t="n">
        <v>-4.7534</v>
      </c>
      <c r="I26" s="19" t="n">
        <v>4.1692</v>
      </c>
      <c r="J26" s="19" t="n">
        <v>1.2685</v>
      </c>
      <c r="K26" s="19" t="n">
        <v>-0.7547</v>
      </c>
    </row>
    <row r="27">
      <c r="A27" s="6" t="inlineStr">
        <is>
          <t>2018-11</t>
        </is>
      </c>
      <c r="B27" s="18" t="n">
        <v>3.46</v>
      </c>
      <c r="C27" s="18" t="n">
        <v>0.1795</v>
      </c>
      <c r="D27" s="18">
        <f>B27-C27</f>
        <v/>
      </c>
      <c r="E27" s="18" t="n">
        <v>3.2805</v>
      </c>
      <c r="F27" s="18">
        <f>D27-E27</f>
        <v/>
      </c>
      <c r="G27" s="18" t="n">
        <v>1.7068</v>
      </c>
      <c r="H27" s="18" t="n">
        <v>-0.782</v>
      </c>
      <c r="I27" s="18" t="n">
        <v>-0.9846</v>
      </c>
      <c r="J27" s="18" t="n">
        <v>0.6952</v>
      </c>
      <c r="K27" s="18" t="n">
        <v>2.7574</v>
      </c>
    </row>
    <row r="28">
      <c r="A28" s="9" t="inlineStr">
        <is>
          <t>2018-12</t>
        </is>
      </c>
      <c r="B28" s="19" t="n">
        <v>7.53</v>
      </c>
      <c r="C28" s="19" t="n">
        <v>0.193</v>
      </c>
      <c r="D28" s="19">
        <f>B28-C28</f>
        <v/>
      </c>
      <c r="E28" s="19" t="n">
        <v>7.337000000000001</v>
      </c>
      <c r="F28" s="19">
        <f>D28-E28</f>
        <v/>
      </c>
      <c r="G28" s="19" t="n">
        <v>-9.542400000000001</v>
      </c>
      <c r="H28" s="19" t="n">
        <v>-3.0373</v>
      </c>
      <c r="I28" s="19" t="n">
        <v>-0.8462</v>
      </c>
      <c r="J28" s="19" t="n">
        <v>1.2795</v>
      </c>
      <c r="K28" s="19" t="n">
        <v>2.522</v>
      </c>
    </row>
    <row r="29">
      <c r="A29" s="6" t="inlineStr">
        <is>
          <t>2019-01</t>
        </is>
      </c>
      <c r="B29" s="18" t="n">
        <v>2.49</v>
      </c>
      <c r="C29" s="18" t="n">
        <v>0.192</v>
      </c>
      <c r="D29" s="18">
        <f>B29-C29</f>
        <v/>
      </c>
      <c r="E29" s="18" t="n">
        <v>2.298</v>
      </c>
      <c r="F29" s="18">
        <f>D29-E29</f>
        <v/>
      </c>
      <c r="G29" s="18" t="n">
        <v>8.4095</v>
      </c>
      <c r="H29" s="18" t="n">
        <v>2.0485</v>
      </c>
      <c r="I29" s="18" t="n">
        <v>-1.0005</v>
      </c>
      <c r="J29" s="18" t="n">
        <v>-3.9559</v>
      </c>
      <c r="K29" s="18" t="n">
        <v>-7.1401</v>
      </c>
    </row>
    <row r="30">
      <c r="A30" s="9" t="inlineStr">
        <is>
          <t>2019-02</t>
        </is>
      </c>
      <c r="B30" s="19" t="n">
        <v>2.73</v>
      </c>
      <c r="C30" s="19" t="n">
        <v>0.1809</v>
      </c>
      <c r="D30" s="19">
        <f>B30-C30</f>
        <v/>
      </c>
      <c r="E30" s="19" t="n">
        <v>2.5491</v>
      </c>
      <c r="F30" s="19">
        <f>D30-E30</f>
        <v/>
      </c>
      <c r="G30" s="19" t="n">
        <v>3.3945</v>
      </c>
      <c r="H30" s="19" t="n">
        <v>1.1896</v>
      </c>
      <c r="I30" s="19" t="n">
        <v>-2.5924</v>
      </c>
      <c r="J30" s="19" t="n">
        <v>0.5313</v>
      </c>
      <c r="K30" s="19" t="n">
        <v>1.3959</v>
      </c>
    </row>
    <row r="31">
      <c r="A31" s="6" t="inlineStr">
        <is>
          <t>2019-03</t>
        </is>
      </c>
      <c r="B31" s="18" t="n">
        <v>3.89</v>
      </c>
      <c r="C31" s="18" t="n">
        <v>0.1935</v>
      </c>
      <c r="D31" s="18">
        <f>B31-C31</f>
        <v/>
      </c>
      <c r="E31" s="18" t="n">
        <v>3.696499999999999</v>
      </c>
      <c r="F31" s="18">
        <f>D31-E31</f>
        <v/>
      </c>
      <c r="G31" s="18" t="n">
        <v>1.1</v>
      </c>
      <c r="H31" s="18" t="n">
        <v>-3.4466</v>
      </c>
      <c r="I31" s="18" t="n">
        <v>-0.4942</v>
      </c>
      <c r="J31" s="18" t="n">
        <v>0.1059</v>
      </c>
      <c r="K31" s="18" t="n">
        <v>0.6733</v>
      </c>
    </row>
    <row r="32">
      <c r="A32" s="9" t="inlineStr">
        <is>
          <t>2019-04</t>
        </is>
      </c>
      <c r="B32" s="19" t="n">
        <v>2.33</v>
      </c>
      <c r="C32" s="19" t="n">
        <v>0.2125</v>
      </c>
      <c r="D32" s="19">
        <f>B32-C32</f>
        <v/>
      </c>
      <c r="E32" s="19" t="n">
        <v>2.1175</v>
      </c>
      <c r="F32" s="19">
        <f>D32-E32</f>
        <v/>
      </c>
      <c r="G32" s="19" t="n">
        <v>3.9607</v>
      </c>
      <c r="H32" s="19" t="n">
        <v>-0.2476</v>
      </c>
      <c r="I32" s="19" t="n">
        <v>-2.418</v>
      </c>
      <c r="J32" s="19" t="n">
        <v>1.8306</v>
      </c>
      <c r="K32" s="19" t="n">
        <v>1.0912</v>
      </c>
    </row>
    <row r="33">
      <c r="A33" s="6" t="inlineStr">
        <is>
          <t>2019-05</t>
        </is>
      </c>
      <c r="B33" s="18" t="n">
        <v>1.77</v>
      </c>
      <c r="C33" s="18" t="n">
        <v>0.1983</v>
      </c>
      <c r="D33" s="18">
        <f>B33-C33</f>
        <v/>
      </c>
      <c r="E33" s="18" t="n">
        <v>1.5717</v>
      </c>
      <c r="F33" s="18">
        <f>D33-E33</f>
        <v/>
      </c>
      <c r="G33" s="18" t="n">
        <v>-6.9254</v>
      </c>
      <c r="H33" s="18" t="n">
        <v>-1.9156</v>
      </c>
      <c r="I33" s="18" t="n">
        <v>1.5264</v>
      </c>
      <c r="J33" s="18" t="n">
        <v>0.6444</v>
      </c>
      <c r="K33" s="18" t="n">
        <v>0.1716</v>
      </c>
    </row>
    <row r="34">
      <c r="A34" s="9" t="inlineStr">
        <is>
          <t>2019-06</t>
        </is>
      </c>
      <c r="B34" s="19" t="n">
        <v>2.6</v>
      </c>
      <c r="C34" s="19" t="n">
        <v>0.1853</v>
      </c>
      <c r="D34" s="19">
        <f>B34-C34</f>
        <v/>
      </c>
      <c r="E34" s="19" t="n">
        <v>2.4147</v>
      </c>
      <c r="F34" s="19">
        <f>D34-E34</f>
        <v/>
      </c>
      <c r="G34" s="19" t="n">
        <v>6.9269</v>
      </c>
      <c r="H34" s="19" t="n">
        <v>-0.4309</v>
      </c>
      <c r="I34" s="19" t="n">
        <v>-0.266</v>
      </c>
      <c r="J34" s="19" t="n">
        <v>-0.1359</v>
      </c>
      <c r="K34" s="19" t="n">
        <v>-0.2662</v>
      </c>
    </row>
    <row r="35">
      <c r="A35" s="6" t="inlineStr">
        <is>
          <t>2019-07</t>
        </is>
      </c>
      <c r="B35" s="18" t="n">
        <v>0.73</v>
      </c>
      <c r="C35" s="18" t="n">
        <v>0.1783</v>
      </c>
      <c r="D35" s="18">
        <f>B35-C35</f>
        <v/>
      </c>
      <c r="E35" s="18" t="n">
        <v>0.5517</v>
      </c>
      <c r="F35" s="18">
        <f>D35-E35</f>
        <v/>
      </c>
      <c r="G35" s="18" t="n">
        <v>1.2213</v>
      </c>
      <c r="H35" s="18" t="n">
        <v>-1.6326</v>
      </c>
      <c r="I35" s="18" t="n">
        <v>0.1743</v>
      </c>
      <c r="J35" s="18" t="n">
        <v>0.4843</v>
      </c>
      <c r="K35" s="18" t="n">
        <v>1.2341</v>
      </c>
    </row>
    <row r="36">
      <c r="A36" s="9" t="inlineStr">
        <is>
          <t>2019-08</t>
        </is>
      </c>
      <c r="B36" s="19" t="n">
        <v>2.39</v>
      </c>
      <c r="C36" s="19" t="n">
        <v>0.1908</v>
      </c>
      <c r="D36" s="19">
        <f>B36-C36</f>
        <v/>
      </c>
      <c r="E36" s="19" t="n">
        <v>2.1992</v>
      </c>
      <c r="F36" s="19">
        <f>D36-E36</f>
        <v/>
      </c>
      <c r="G36" s="19" t="n">
        <v>-2.6018</v>
      </c>
      <c r="H36" s="19" t="n">
        <v>-4.2154</v>
      </c>
      <c r="I36" s="19" t="n">
        <v>-1.0234</v>
      </c>
      <c r="J36" s="19" t="n">
        <v>1.8878</v>
      </c>
      <c r="K36" s="19" t="n">
        <v>1.4913</v>
      </c>
    </row>
    <row r="37">
      <c r="A37" s="6" t="inlineStr">
        <is>
          <t>2019-09</t>
        </is>
      </c>
      <c r="B37" s="18" t="n">
        <v>3.47</v>
      </c>
      <c r="C37" s="18" t="n">
        <v>0.1787</v>
      </c>
      <c r="D37" s="18">
        <f>B37-C37</f>
        <v/>
      </c>
      <c r="E37" s="18" t="n">
        <v>3.2913</v>
      </c>
      <c r="F37" s="18">
        <f>D37-E37</f>
        <v/>
      </c>
      <c r="G37" s="18" t="n">
        <v>1.4293</v>
      </c>
      <c r="H37" s="18" t="n">
        <v>1.4289</v>
      </c>
      <c r="I37" s="18" t="n">
        <v>2.9672</v>
      </c>
      <c r="J37" s="18" t="n">
        <v>1.7225</v>
      </c>
      <c r="K37" s="18" t="n">
        <v>-1.8185</v>
      </c>
    </row>
    <row r="38">
      <c r="A38" s="9" t="inlineStr">
        <is>
          <t>2019-10</t>
        </is>
      </c>
      <c r="B38" s="19" t="n">
        <v>1.39999999999999</v>
      </c>
      <c r="C38" s="19" t="n">
        <v>0.1531</v>
      </c>
      <c r="D38" s="19">
        <f>B38-C38</f>
        <v/>
      </c>
      <c r="E38" s="19" t="n">
        <v>1.24689999999999</v>
      </c>
      <c r="F38" s="19">
        <f>D38-E38</f>
        <v/>
      </c>
      <c r="G38" s="19" t="n">
        <v>2.0629</v>
      </c>
      <c r="H38" s="19" t="n">
        <v>0.8208</v>
      </c>
      <c r="I38" s="19" t="n">
        <v>-0.6402</v>
      </c>
      <c r="J38" s="19" t="n">
        <v>0.8429</v>
      </c>
      <c r="K38" s="19" t="n">
        <v>1.9502</v>
      </c>
    </row>
    <row r="39">
      <c r="A39" s="6" t="inlineStr">
        <is>
          <t>2019-11</t>
        </is>
      </c>
      <c r="B39" s="18" t="n">
        <v>1.1</v>
      </c>
      <c r="C39" s="18" t="n">
        <v>0.1197</v>
      </c>
      <c r="D39" s="18">
        <f>B39-C39</f>
        <v/>
      </c>
      <c r="E39" s="18" t="n">
        <v>0.9802999999999998</v>
      </c>
      <c r="F39" s="18">
        <f>D39-E39</f>
        <v/>
      </c>
      <c r="G39" s="18" t="n">
        <v>3.8677</v>
      </c>
      <c r="H39" s="18" t="n">
        <v>0.0019</v>
      </c>
      <c r="I39" s="18" t="n">
        <v>-1.0324</v>
      </c>
      <c r="J39" s="18" t="n">
        <v>-1.3056</v>
      </c>
      <c r="K39" s="18" t="n">
        <v>-0.6328</v>
      </c>
    </row>
    <row r="40">
      <c r="A40" s="9" t="inlineStr">
        <is>
          <t>2019-12</t>
        </is>
      </c>
      <c r="B40" s="19" t="n">
        <v>3.08</v>
      </c>
      <c r="C40" s="19" t="n">
        <v>0.1431</v>
      </c>
      <c r="D40" s="19">
        <f>B40-C40</f>
        <v/>
      </c>
      <c r="E40" s="19" t="n">
        <v>2.9369</v>
      </c>
      <c r="F40" s="19">
        <f>D40-E40</f>
        <v/>
      </c>
      <c r="G40" s="19" t="n">
        <v>2.7631</v>
      </c>
      <c r="H40" s="19" t="n">
        <v>1.2791</v>
      </c>
      <c r="I40" s="19" t="n">
        <v>1.769</v>
      </c>
      <c r="J40" s="19" t="n">
        <v>-1.252</v>
      </c>
      <c r="K40" s="19" t="n">
        <v>-0.6206</v>
      </c>
    </row>
    <row r="41">
      <c r="A41" s="6" t="inlineStr">
        <is>
          <t>2020-01</t>
        </is>
      </c>
      <c r="B41" s="18" t="n">
        <v>2</v>
      </c>
      <c r="C41" s="18" t="n">
        <v>0.1164</v>
      </c>
      <c r="D41" s="18">
        <f>B41-C41</f>
        <v/>
      </c>
      <c r="E41" s="18" t="n">
        <v>1.8836</v>
      </c>
      <c r="F41" s="18">
        <f>D41-E41</f>
        <v/>
      </c>
      <c r="G41" s="18" t="n">
        <v>-0.09180000000000001</v>
      </c>
      <c r="H41" s="18" t="n">
        <v>-4.7599</v>
      </c>
      <c r="I41" s="18" t="n">
        <v>-2.4186</v>
      </c>
      <c r="J41" s="18" t="n">
        <v>-0.434</v>
      </c>
      <c r="K41" s="18" t="n">
        <v>2.4445</v>
      </c>
    </row>
    <row r="42">
      <c r="A42" s="9" t="inlineStr">
        <is>
          <t>2020-02</t>
        </is>
      </c>
      <c r="B42" s="19" t="n">
        <v>2.71</v>
      </c>
      <c r="C42" s="19" t="n">
        <v>0.1208</v>
      </c>
      <c r="D42" s="19">
        <f>B42-C42</f>
        <v/>
      </c>
      <c r="E42" s="19" t="n">
        <v>2.5892</v>
      </c>
      <c r="F42" s="19">
        <f>D42-E42</f>
        <v/>
      </c>
      <c r="G42" s="19" t="n">
        <v>-8.128500000000001</v>
      </c>
      <c r="H42" s="19" t="n">
        <v>-1.3419</v>
      </c>
      <c r="I42" s="19" t="n">
        <v>-2.1767</v>
      </c>
      <c r="J42" s="19" t="n">
        <v>-0.5082</v>
      </c>
      <c r="K42" s="19" t="n">
        <v>1.4314</v>
      </c>
    </row>
    <row r="43">
      <c r="A43" s="6" t="inlineStr">
        <is>
          <t>2020-03</t>
        </is>
      </c>
      <c r="B43" s="18" t="n">
        <v>21.46</v>
      </c>
      <c r="C43" s="18" t="n">
        <v>0.1268</v>
      </c>
      <c r="D43" s="18">
        <f>B43-C43</f>
        <v/>
      </c>
      <c r="E43" s="18" t="n">
        <v>21.3332</v>
      </c>
      <c r="F43" s="18">
        <f>D43-E43</f>
        <v/>
      </c>
      <c r="G43" s="18" t="n">
        <v>-13.3781</v>
      </c>
      <c r="H43" s="18" t="n">
        <v>-8.4139</v>
      </c>
      <c r="I43" s="18" t="n">
        <v>2.1173</v>
      </c>
      <c r="J43" s="18" t="n">
        <v>5.8288</v>
      </c>
      <c r="K43" s="18" t="n">
        <v>11.8761</v>
      </c>
    </row>
    <row r="44">
      <c r="A44" s="9" t="inlineStr">
        <is>
          <t>2020-04</t>
        </is>
      </c>
      <c r="B44" s="19" t="n">
        <v>5.86</v>
      </c>
      <c r="C44" s="19" t="n">
        <v>0.0003</v>
      </c>
      <c r="D44" s="19">
        <f>B44-C44</f>
        <v/>
      </c>
      <c r="E44" s="19" t="n">
        <v>5.8597</v>
      </c>
      <c r="F44" s="19">
        <f>D44-E44</f>
        <v/>
      </c>
      <c r="G44" s="19" t="n">
        <v>13.5918</v>
      </c>
      <c r="H44" s="19" t="n">
        <v>3.2906</v>
      </c>
      <c r="I44" s="19" t="n">
        <v>-0.1783</v>
      </c>
      <c r="J44" s="19" t="n">
        <v>-2.1253</v>
      </c>
      <c r="K44" s="19" t="n">
        <v>-2.9684</v>
      </c>
    </row>
    <row r="45">
      <c r="A45" s="6" t="inlineStr">
        <is>
          <t>2020-05</t>
        </is>
      </c>
      <c r="B45" s="18" t="n">
        <v>4</v>
      </c>
      <c r="C45" s="18" t="n">
        <v>0.0059</v>
      </c>
      <c r="D45" s="18">
        <f>B45-C45</f>
        <v/>
      </c>
      <c r="E45" s="18" t="n">
        <v>3.9941</v>
      </c>
      <c r="F45" s="18">
        <f>D45-E45</f>
        <v/>
      </c>
      <c r="G45" s="18" t="n">
        <v>5.583</v>
      </c>
      <c r="H45" s="18" t="n">
        <v>2.4993</v>
      </c>
      <c r="I45" s="18" t="n">
        <v>-3.6764</v>
      </c>
      <c r="J45" s="18" t="n">
        <v>-0.5798</v>
      </c>
      <c r="K45" s="18" t="n">
        <v>0.6878</v>
      </c>
    </row>
    <row r="46">
      <c r="A46" s="9" t="inlineStr">
        <is>
          <t>2020-06</t>
        </is>
      </c>
      <c r="B46" s="19" t="n">
        <v>6.25</v>
      </c>
      <c r="C46" s="19" t="n">
        <v>0.0111</v>
      </c>
      <c r="D46" s="19">
        <f>B46-C46</f>
        <v/>
      </c>
      <c r="E46" s="19" t="n">
        <v>6.2389</v>
      </c>
      <c r="F46" s="19">
        <f>D46-E46</f>
        <v/>
      </c>
      <c r="G46" s="19" t="n">
        <v>2.4608</v>
      </c>
      <c r="H46" s="19" t="n">
        <v>2.2963</v>
      </c>
      <c r="I46" s="19" t="n">
        <v>0.2683</v>
      </c>
      <c r="J46" s="19" t="n">
        <v>1.1718</v>
      </c>
      <c r="K46" s="19" t="n">
        <v>1.6921</v>
      </c>
    </row>
    <row r="47">
      <c r="A47" s="6" t="inlineStr">
        <is>
          <t>2020-07</t>
        </is>
      </c>
      <c r="B47" s="18" t="n">
        <v>13.9</v>
      </c>
      <c r="C47" s="18" t="n">
        <v>0.009599999999999999</v>
      </c>
      <c r="D47" s="18">
        <f>B47-C47</f>
        <v/>
      </c>
      <c r="E47" s="18" t="n">
        <v>13.8904</v>
      </c>
      <c r="F47" s="18">
        <f>D47-E47</f>
        <v/>
      </c>
      <c r="G47" s="18" t="n">
        <v>5.7699</v>
      </c>
      <c r="H47" s="18" t="n">
        <v>-1.2856</v>
      </c>
      <c r="I47" s="18" t="n">
        <v>-1.3374</v>
      </c>
      <c r="J47" s="18" t="n">
        <v>3.338</v>
      </c>
      <c r="K47" s="18" t="n">
        <v>1.4232</v>
      </c>
    </row>
    <row r="48">
      <c r="A48" s="9" t="inlineStr">
        <is>
          <t>2020-08</t>
        </is>
      </c>
      <c r="B48" s="19" t="n">
        <v>3.04</v>
      </c>
      <c r="C48" s="19" t="n">
        <v>0.007900000000000001</v>
      </c>
      <c r="D48" s="19">
        <f>B48-C48</f>
        <v/>
      </c>
      <c r="E48" s="19" t="n">
        <v>3.0321</v>
      </c>
      <c r="F48" s="19">
        <f>D48-E48</f>
        <v/>
      </c>
      <c r="G48" s="19" t="n">
        <v>7.626</v>
      </c>
      <c r="H48" s="19" t="n">
        <v>-2.0521</v>
      </c>
      <c r="I48" s="19" t="n">
        <v>-3.0065</v>
      </c>
      <c r="J48" s="19" t="n">
        <v>-0.7135</v>
      </c>
      <c r="K48" s="19" t="n">
        <v>-1.6874</v>
      </c>
    </row>
    <row r="49">
      <c r="A49" s="6" t="inlineStr">
        <is>
          <t>2020-09</t>
        </is>
      </c>
      <c r="B49" s="18" t="n">
        <v>4.07</v>
      </c>
      <c r="C49" s="18" t="n">
        <v>0.0076</v>
      </c>
      <c r="D49" s="18">
        <f>B49-C49</f>
        <v/>
      </c>
      <c r="E49" s="18" t="n">
        <v>4.0624</v>
      </c>
      <c r="F49" s="18">
        <f>D49-E49</f>
        <v/>
      </c>
      <c r="G49" s="18" t="n">
        <v>-3.6283</v>
      </c>
      <c r="H49" s="18" t="n">
        <v>0.6347</v>
      </c>
      <c r="I49" s="18" t="n">
        <v>-2.5151</v>
      </c>
      <c r="J49" s="18" t="n">
        <v>1.1429</v>
      </c>
      <c r="K49" s="18" t="n">
        <v>0.8538</v>
      </c>
    </row>
    <row r="50">
      <c r="A50" s="9" t="inlineStr">
        <is>
          <t>2020-10</t>
        </is>
      </c>
      <c r="B50" s="19" t="n">
        <v>1.92999999999999</v>
      </c>
      <c r="C50" s="19" t="n">
        <v>0.0073</v>
      </c>
      <c r="D50" s="19">
        <f>B50-C50</f>
        <v/>
      </c>
      <c r="E50" s="19" t="n">
        <v>1.92269999999999</v>
      </c>
      <c r="F50" s="19">
        <f>D50-E50</f>
        <v/>
      </c>
      <c r="G50" s="19" t="n">
        <v>-2.1002</v>
      </c>
      <c r="H50" s="19" t="n">
        <v>2.5852</v>
      </c>
      <c r="I50" s="19" t="n">
        <v>-0.2991</v>
      </c>
      <c r="J50" s="19" t="n">
        <v>-2.6977</v>
      </c>
      <c r="K50" s="19" t="n">
        <v>0.0617</v>
      </c>
    </row>
    <row r="51">
      <c r="A51" s="6" t="inlineStr">
        <is>
          <t>2020-11</t>
        </is>
      </c>
      <c r="B51" s="18" t="n">
        <v>5.62</v>
      </c>
      <c r="C51" s="18" t="n">
        <v>0.0066</v>
      </c>
      <c r="D51" s="18">
        <f>B51-C51</f>
        <v/>
      </c>
      <c r="E51" s="18" t="n">
        <v>5.6134</v>
      </c>
      <c r="F51" s="18">
        <f>D51-E51</f>
        <v/>
      </c>
      <c r="G51" s="18" t="n">
        <v>12.4684</v>
      </c>
      <c r="H51" s="18" t="n">
        <v>4.1686</v>
      </c>
      <c r="I51" s="18" t="n">
        <v>3.105</v>
      </c>
      <c r="J51" s="18" t="n">
        <v>-14.355</v>
      </c>
      <c r="K51" s="18" t="n">
        <v>-9.7563</v>
      </c>
    </row>
    <row r="52">
      <c r="A52" s="9" t="inlineStr">
        <is>
          <t>2020-12</t>
        </is>
      </c>
      <c r="B52" s="19" t="n">
        <v>3.7</v>
      </c>
      <c r="C52" s="19" t="n">
        <v>0.006</v>
      </c>
      <c r="D52" s="19">
        <f>B52-C52</f>
        <v/>
      </c>
      <c r="E52" s="19" t="n">
        <v>3.694</v>
      </c>
      <c r="F52" s="19">
        <f>D52-E52</f>
        <v/>
      </c>
      <c r="G52" s="19" t="n">
        <v>4.6321</v>
      </c>
      <c r="H52" s="19" t="n">
        <v>4.2033</v>
      </c>
      <c r="I52" s="19" t="n">
        <v>-2.7493</v>
      </c>
      <c r="J52" s="19" t="n">
        <v>-4.021</v>
      </c>
      <c r="K52" s="19" t="n">
        <v>-1.1251</v>
      </c>
    </row>
    <row r="53">
      <c r="A53" s="6" t="inlineStr">
        <is>
          <t>2021-01</t>
        </is>
      </c>
      <c r="B53" s="18" t="n">
        <v>9.44999999999999</v>
      </c>
      <c r="C53" s="18" t="n">
        <v>0.0046</v>
      </c>
      <c r="D53" s="18">
        <f>B53-C53</f>
        <v/>
      </c>
      <c r="E53" s="18" t="n">
        <v>9.44539999999999</v>
      </c>
      <c r="F53" s="18">
        <f>D53-E53</f>
        <v/>
      </c>
      <c r="G53" s="18" t="n">
        <v>-0.0212</v>
      </c>
      <c r="H53" s="18" t="n">
        <v>8.2178</v>
      </c>
      <c r="I53" s="18" t="n">
        <v>6.4689</v>
      </c>
      <c r="J53" s="18" t="n">
        <v>-1.9859</v>
      </c>
      <c r="K53" s="18" t="n">
        <v>-7.1944</v>
      </c>
    </row>
    <row r="54">
      <c r="A54" s="9" t="inlineStr">
        <is>
          <t>2021-02</t>
        </is>
      </c>
      <c r="B54" s="19" t="n">
        <v>11.38</v>
      </c>
      <c r="C54" s="19" t="n">
        <v>0.0045</v>
      </c>
      <c r="D54" s="19">
        <f>B54-C54</f>
        <v/>
      </c>
      <c r="E54" s="19" t="n">
        <v>11.3755</v>
      </c>
      <c r="F54" s="19">
        <f>D54-E54</f>
        <v/>
      </c>
      <c r="G54" s="19" t="n">
        <v>2.7769</v>
      </c>
      <c r="H54" s="19" t="n">
        <v>4.3453</v>
      </c>
      <c r="I54" s="19" t="n">
        <v>-0.6264</v>
      </c>
      <c r="J54" s="19" t="n">
        <v>-6.1783</v>
      </c>
      <c r="K54" s="19" t="n">
        <v>-5.8242</v>
      </c>
    </row>
    <row r="55">
      <c r="A55" s="6" t="inlineStr">
        <is>
          <t>2021-03</t>
        </is>
      </c>
      <c r="B55" s="18" t="n">
        <v>2.41</v>
      </c>
      <c r="C55" s="18" t="n">
        <v>0.0027</v>
      </c>
      <c r="D55" s="18">
        <f>B55-C55</f>
        <v/>
      </c>
      <c r="E55" s="18" t="n">
        <v>2.4073</v>
      </c>
      <c r="F55" s="18">
        <f>D55-E55</f>
        <v/>
      </c>
      <c r="G55" s="18" t="n">
        <v>3.0849</v>
      </c>
      <c r="H55" s="18" t="n">
        <v>-0.6556</v>
      </c>
      <c r="I55" s="18" t="n">
        <v>4.7173</v>
      </c>
      <c r="J55" s="18" t="n">
        <v>4.4184</v>
      </c>
      <c r="K55" s="18" t="n">
        <v>-1.5273</v>
      </c>
    </row>
    <row r="56">
      <c r="A56" s="9" t="inlineStr">
        <is>
          <t>2021-04</t>
        </is>
      </c>
      <c r="B56" s="19" t="n">
        <v>3.95999999999999</v>
      </c>
      <c r="C56" s="19" t="n">
        <v>0.0014</v>
      </c>
      <c r="D56" s="19">
        <f>B56-C56</f>
        <v/>
      </c>
      <c r="E56" s="19" t="n">
        <v>3.95859999999999</v>
      </c>
      <c r="F56" s="19">
        <f>D56-E56</f>
        <v/>
      </c>
      <c r="G56" s="19" t="n">
        <v>4.9228</v>
      </c>
      <c r="H56" s="19" t="n">
        <v>-3.0496</v>
      </c>
      <c r="I56" s="19" t="n">
        <v>-3.3369</v>
      </c>
      <c r="J56" s="19" t="n">
        <v>2.2146</v>
      </c>
      <c r="K56" s="19" t="n">
        <v>2.2226</v>
      </c>
    </row>
    <row r="57">
      <c r="A57" s="6" t="inlineStr">
        <is>
          <t>2021-05</t>
        </is>
      </c>
      <c r="B57" s="18" t="n">
        <v>2.27</v>
      </c>
      <c r="C57" s="18" t="n">
        <v>0.0005</v>
      </c>
      <c r="D57" s="18">
        <f>B57-C57</f>
        <v/>
      </c>
      <c r="E57" s="18" t="n">
        <v>2.2695</v>
      </c>
      <c r="F57" s="18">
        <f>D57-E57</f>
        <v/>
      </c>
      <c r="G57" s="18" t="n">
        <v>0.2877</v>
      </c>
      <c r="H57" s="18" t="n">
        <v>1.4392</v>
      </c>
      <c r="I57" s="18" t="n">
        <v>4.5591</v>
      </c>
      <c r="J57" s="18" t="n">
        <v>2.3724</v>
      </c>
      <c r="K57" s="18" t="n">
        <v>-1.5753</v>
      </c>
    </row>
    <row r="58">
      <c r="A58" s="9" t="inlineStr">
        <is>
          <t>2021-06</t>
        </is>
      </c>
      <c r="B58" s="19" t="n">
        <v>2.66</v>
      </c>
      <c r="C58" s="19" t="n">
        <v>0.0004</v>
      </c>
      <c r="D58" s="19">
        <f>B58-C58</f>
        <v/>
      </c>
      <c r="E58" s="19" t="n">
        <v>2.6596</v>
      </c>
      <c r="F58" s="19">
        <f>D58-E58</f>
        <v/>
      </c>
      <c r="G58" s="19" t="n">
        <v>2.7505</v>
      </c>
      <c r="H58" s="19" t="n">
        <v>-0.1316</v>
      </c>
      <c r="I58" s="19" t="n">
        <v>-2.5953</v>
      </c>
      <c r="J58" s="19" t="n">
        <v>-1.3245</v>
      </c>
      <c r="K58" s="19" t="n">
        <v>3.5564</v>
      </c>
    </row>
    <row r="59">
      <c r="A59" s="6" t="inlineStr">
        <is>
          <t>2021-07</t>
        </is>
      </c>
      <c r="B59" s="18" t="n">
        <v>2.66</v>
      </c>
      <c r="C59" s="18" t="n">
        <v>0.0031</v>
      </c>
      <c r="D59" s="18">
        <f>B59-C59</f>
        <v/>
      </c>
      <c r="E59" s="18" t="n">
        <v>2.6569</v>
      </c>
      <c r="F59" s="18">
        <f>D59-E59</f>
        <v/>
      </c>
      <c r="G59" s="18" t="n">
        <v>1.2652</v>
      </c>
      <c r="H59" s="18" t="n">
        <v>-3.053</v>
      </c>
      <c r="I59" s="18" t="n">
        <v>-1.5062</v>
      </c>
      <c r="J59" s="18" t="n">
        <v>7.4792</v>
      </c>
      <c r="K59" s="18" t="n">
        <v>5.249</v>
      </c>
    </row>
    <row r="60">
      <c r="A60" s="9" t="inlineStr">
        <is>
          <t>2021-08</t>
        </is>
      </c>
      <c r="B60" s="19" t="n">
        <v>1.15</v>
      </c>
      <c r="C60" s="19" t="n">
        <v>0.0049</v>
      </c>
      <c r="D60" s="19">
        <f>B60-C60</f>
        <v/>
      </c>
      <c r="E60" s="19" t="n">
        <v>1.1451</v>
      </c>
      <c r="F60" s="19">
        <f>D60-E60</f>
        <v/>
      </c>
      <c r="G60" s="19" t="n">
        <v>2.9065</v>
      </c>
      <c r="H60" s="19" t="n">
        <v>-0.7272</v>
      </c>
      <c r="I60" s="19" t="n">
        <v>-2.1892</v>
      </c>
      <c r="J60" s="19" t="n">
        <v>1.255</v>
      </c>
      <c r="K60" s="19" t="n">
        <v>2.2517</v>
      </c>
    </row>
    <row r="61">
      <c r="A61" s="6" t="inlineStr">
        <is>
          <t>2021-09</t>
        </is>
      </c>
      <c r="B61" s="18" t="n">
        <v>1.58</v>
      </c>
      <c r="C61" s="18" t="n">
        <v>0.0033</v>
      </c>
      <c r="D61" s="18">
        <f>B61-C61</f>
        <v/>
      </c>
      <c r="E61" s="18" t="n">
        <v>1.5767</v>
      </c>
      <c r="F61" s="18">
        <f>D61-E61</f>
        <v/>
      </c>
      <c r="G61" s="18" t="n">
        <v>-4.3671</v>
      </c>
      <c r="H61" s="18" t="n">
        <v>0.738</v>
      </c>
      <c r="I61" s="18" t="n">
        <v>3.3074</v>
      </c>
      <c r="J61" s="18" t="n">
        <v>-1.7797</v>
      </c>
      <c r="K61" s="18" t="n">
        <v>-4.7938</v>
      </c>
    </row>
    <row r="62">
      <c r="A62" s="9" t="inlineStr">
        <is>
          <t>2021-10</t>
        </is>
      </c>
      <c r="B62" s="19" t="n">
        <v>0.8999999999999999</v>
      </c>
      <c r="C62" s="19" t="n">
        <v>0.0037</v>
      </c>
      <c r="D62" s="19">
        <f>B62-C62</f>
        <v/>
      </c>
      <c r="E62" s="19" t="n">
        <v>0.8962999999999999</v>
      </c>
      <c r="F62" s="19">
        <f>D62-E62</f>
        <v/>
      </c>
      <c r="G62" s="19" t="n">
        <v>6.6487</v>
      </c>
      <c r="H62" s="19" t="n">
        <v>-2.0151</v>
      </c>
      <c r="I62" s="19" t="n">
        <v>-2.2654</v>
      </c>
      <c r="J62" s="19" t="n">
        <v>3.2909</v>
      </c>
      <c r="K62" s="19" t="n">
        <v>3.5348</v>
      </c>
    </row>
    <row r="63">
      <c r="A63" s="6" t="inlineStr">
        <is>
          <t>2021-11</t>
        </is>
      </c>
      <c r="B63" s="18" t="n">
        <v>2.1</v>
      </c>
      <c r="C63" s="18" t="n">
        <v>0.0044</v>
      </c>
      <c r="D63" s="18">
        <f>B63-C63</f>
        <v/>
      </c>
      <c r="E63" s="18" t="n">
        <v>2.0956</v>
      </c>
      <c r="F63" s="18">
        <f>D63-E63</f>
        <v/>
      </c>
      <c r="G63" s="18" t="n">
        <v>-1.5459</v>
      </c>
      <c r="H63" s="18" t="n">
        <v>-0.6292</v>
      </c>
      <c r="I63" s="18" t="n">
        <v>-0.4569</v>
      </c>
      <c r="J63" s="18" t="n">
        <v>8.3789</v>
      </c>
      <c r="K63" s="18" t="n">
        <v>4.785</v>
      </c>
    </row>
    <row r="64">
      <c r="A64" s="9" t="inlineStr">
        <is>
          <t>2021-12</t>
        </is>
      </c>
      <c r="B64" s="19" t="n">
        <v>2.95</v>
      </c>
      <c r="C64" s="19" t="n">
        <v>0.0067</v>
      </c>
      <c r="D64" s="19">
        <f>B64-C64</f>
        <v/>
      </c>
      <c r="E64" s="19" t="n">
        <v>2.9433</v>
      </c>
      <c r="F64" s="19">
        <f>D64-E64</f>
        <v/>
      </c>
      <c r="G64" s="19" t="n">
        <v>3.1005</v>
      </c>
      <c r="H64" s="19" t="n">
        <v>-0.5416</v>
      </c>
      <c r="I64" s="19" t="n">
        <v>5.2366</v>
      </c>
      <c r="J64" s="19" t="n">
        <v>3.823</v>
      </c>
      <c r="K64" s="19" t="n">
        <v>1.1799</v>
      </c>
    </row>
    <row r="65">
      <c r="A65" s="6" t="inlineStr">
        <is>
          <t>2022-01</t>
        </is>
      </c>
      <c r="B65" s="18" t="n">
        <v>1.58</v>
      </c>
      <c r="C65" s="18" t="n">
        <v>0.0044</v>
      </c>
      <c r="D65" s="18">
        <f>B65-C65</f>
        <v/>
      </c>
      <c r="E65" s="18" t="n">
        <v>1.5756</v>
      </c>
      <c r="F65" s="18">
        <f>D65-E65</f>
        <v/>
      </c>
      <c r="G65" s="18" t="n">
        <v>-6.2481</v>
      </c>
      <c r="H65" s="18" t="n">
        <v>-3.7454</v>
      </c>
      <c r="I65" s="18" t="n">
        <v>10.4429</v>
      </c>
      <c r="J65" s="18" t="n">
        <v>0.7748</v>
      </c>
      <c r="K65" s="18" t="n">
        <v>-3.4199</v>
      </c>
    </row>
    <row r="66">
      <c r="A66" s="9" t="inlineStr">
        <is>
          <t>2022-02</t>
        </is>
      </c>
      <c r="B66" s="19" t="n">
        <v>1.52</v>
      </c>
      <c r="C66" s="19" t="n">
        <v>0.0028</v>
      </c>
      <c r="D66" s="19">
        <f>B66-C66</f>
        <v/>
      </c>
      <c r="E66" s="19" t="n">
        <v>1.5172</v>
      </c>
      <c r="F66" s="19">
        <f>D66-E66</f>
        <v/>
      </c>
      <c r="G66" s="19" t="n">
        <v>-2.2805</v>
      </c>
      <c r="H66" s="19" t="n">
        <v>3.2417</v>
      </c>
      <c r="I66" s="19" t="n">
        <v>3.9305</v>
      </c>
      <c r="J66" s="19" t="n">
        <v>-2.2584</v>
      </c>
      <c r="K66" s="19" t="n">
        <v>-4.2678</v>
      </c>
    </row>
    <row r="67">
      <c r="A67" s="6" t="inlineStr">
        <is>
          <t>2022-03</t>
        </is>
      </c>
      <c r="B67" s="18" t="n">
        <v>1.92999999999999</v>
      </c>
      <c r="C67" s="18" t="n">
        <v>0.006</v>
      </c>
      <c r="D67" s="18">
        <f>B67-C67</f>
        <v/>
      </c>
      <c r="E67" s="18" t="n">
        <v>1.92399999999999</v>
      </c>
      <c r="F67" s="18">
        <f>D67-E67</f>
        <v/>
      </c>
      <c r="G67" s="18" t="n">
        <v>3.0566</v>
      </c>
      <c r="H67" s="18" t="n">
        <v>-1.8113</v>
      </c>
      <c r="I67" s="18" t="n">
        <v>3.3117</v>
      </c>
      <c r="J67" s="18" t="n">
        <v>-0.0987</v>
      </c>
      <c r="K67" s="18" t="n">
        <v>-1.4433</v>
      </c>
    </row>
    <row r="68">
      <c r="A68" s="9" t="inlineStr">
        <is>
          <t>2022-04</t>
        </is>
      </c>
      <c r="B68" s="19" t="n">
        <v>0.11</v>
      </c>
      <c r="C68" s="19" t="n">
        <v>0.0037</v>
      </c>
      <c r="D68" s="19">
        <f>B68-C68</f>
        <v/>
      </c>
      <c r="E68" s="19" t="n">
        <v>0.1063</v>
      </c>
      <c r="F68" s="19">
        <f>D68-E68</f>
        <v/>
      </c>
      <c r="G68" s="19" t="n">
        <v>-9.4436</v>
      </c>
      <c r="H68" s="19" t="n">
        <v>0.8986</v>
      </c>
      <c r="I68" s="19" t="n">
        <v>6.0424</v>
      </c>
      <c r="J68" s="19" t="n">
        <v>4.6941</v>
      </c>
      <c r="K68" s="19" t="n">
        <v>-0.0118</v>
      </c>
    </row>
    <row r="69">
      <c r="A69" s="6" t="inlineStr">
        <is>
          <t>2022-05</t>
        </is>
      </c>
      <c r="B69" s="18" t="n">
        <v>1.27</v>
      </c>
      <c r="C69" s="18" t="n">
        <v>0.0307</v>
      </c>
      <c r="D69" s="18">
        <f>B69-C69</f>
        <v/>
      </c>
      <c r="E69" s="18" t="n">
        <v>1.2393</v>
      </c>
      <c r="F69" s="18">
        <f>D69-E69</f>
        <v/>
      </c>
      <c r="G69" s="18" t="n">
        <v>-0.3407</v>
      </c>
      <c r="H69" s="18" t="n">
        <v>0.823</v>
      </c>
      <c r="I69" s="18" t="n">
        <v>5.7417</v>
      </c>
      <c r="J69" s="18" t="n">
        <v>1.0855</v>
      </c>
      <c r="K69" s="18" t="n">
        <v>1.3569</v>
      </c>
    </row>
    <row r="70">
      <c r="A70" s="9" t="inlineStr">
        <is>
          <t>2022-06</t>
        </is>
      </c>
      <c r="B70" s="19" t="n">
        <v>-0.32</v>
      </c>
      <c r="C70" s="19" t="n">
        <v>0.0567</v>
      </c>
      <c r="D70" s="19">
        <f>B70-C70</f>
        <v/>
      </c>
      <c r="E70" s="19" t="n">
        <v>-0.3767</v>
      </c>
      <c r="F70" s="19">
        <f>D70-E70</f>
        <v/>
      </c>
      <c r="G70" s="19" t="n">
        <v>-8.4238</v>
      </c>
      <c r="H70" s="19" t="n">
        <v>0.7304</v>
      </c>
      <c r="I70" s="19" t="n">
        <v>-5.6444</v>
      </c>
      <c r="J70" s="19" t="n">
        <v>1.0413</v>
      </c>
      <c r="K70" s="19" t="n">
        <v>1.3748</v>
      </c>
    </row>
    <row r="71">
      <c r="A71" s="6" t="inlineStr">
        <is>
          <t>2022-07</t>
        </is>
      </c>
      <c r="B71" s="18" t="n">
        <v>0.83</v>
      </c>
      <c r="C71" s="18" t="n">
        <v>0.08119999999999999</v>
      </c>
      <c r="D71" s="18">
        <f>B71-C71</f>
        <v/>
      </c>
      <c r="E71" s="18" t="n">
        <v>0.7487999999999999</v>
      </c>
      <c r="F71" s="18">
        <f>D71-E71</f>
        <v/>
      </c>
      <c r="G71" s="18" t="n">
        <v>9.556100000000001</v>
      </c>
      <c r="H71" s="18" t="n">
        <v>0.2718</v>
      </c>
      <c r="I71" s="18" t="n">
        <v>-5.5565</v>
      </c>
      <c r="J71" s="18" t="n">
        <v>-2.045</v>
      </c>
      <c r="K71" s="18" t="n">
        <v>2.3606</v>
      </c>
    </row>
    <row r="72">
      <c r="A72" s="9" t="inlineStr">
        <is>
          <t>2022-08</t>
        </is>
      </c>
      <c r="B72" s="19" t="n">
        <v>0.25</v>
      </c>
      <c r="C72" s="19" t="n">
        <v>0.1901</v>
      </c>
      <c r="D72" s="19">
        <f>B72-C72</f>
        <v/>
      </c>
      <c r="E72" s="19" t="n">
        <v>0.05990000000000001</v>
      </c>
      <c r="F72" s="19">
        <f>D72-E72</f>
        <v/>
      </c>
      <c r="G72" s="19" t="n">
        <v>-3.7707</v>
      </c>
      <c r="H72" s="19" t="n">
        <v>1.396</v>
      </c>
      <c r="I72" s="19" t="n">
        <v>2.8829</v>
      </c>
      <c r="J72" s="19" t="n">
        <v>-2.8215</v>
      </c>
      <c r="K72" s="19" t="n">
        <v>-3.359</v>
      </c>
    </row>
    <row r="73">
      <c r="A73" s="6" t="inlineStr">
        <is>
          <t>2022-09</t>
        </is>
      </c>
      <c r="B73" s="18" t="n">
        <v>-0.21</v>
      </c>
      <c r="C73" s="18" t="n">
        <v>0.1929</v>
      </c>
      <c r="D73" s="18">
        <f>B73-C73</f>
        <v/>
      </c>
      <c r="E73" s="18" t="n">
        <v>-0.4029</v>
      </c>
      <c r="F73" s="18">
        <f>D73-E73</f>
        <v/>
      </c>
      <c r="G73" s="18" t="n">
        <v>-9.346399999999999</v>
      </c>
      <c r="H73" s="18" t="n">
        <v>-1.7137</v>
      </c>
      <c r="I73" s="18" t="n">
        <v>-0.2636</v>
      </c>
      <c r="J73" s="18" t="n">
        <v>1.0989</v>
      </c>
      <c r="K73" s="18" t="n">
        <v>1.7873</v>
      </c>
    </row>
    <row r="74">
      <c r="A74" s="9" t="inlineStr">
        <is>
          <t>2022-10</t>
        </is>
      </c>
      <c r="B74" s="19" t="n">
        <v>0.6999999999999901</v>
      </c>
      <c r="C74" s="19" t="n">
        <v>0.2327</v>
      </c>
      <c r="D74" s="19">
        <f>B74-C74</f>
        <v/>
      </c>
      <c r="E74" s="19" t="n">
        <v>0.4672999999999901</v>
      </c>
      <c r="F74" s="19">
        <f>D74-E74</f>
        <v/>
      </c>
      <c r="G74" s="19" t="n">
        <v>7.8335</v>
      </c>
      <c r="H74" s="19" t="n">
        <v>4.6727</v>
      </c>
      <c r="I74" s="19" t="n">
        <v>7.4759</v>
      </c>
      <c r="J74" s="19" t="n">
        <v>5.4532</v>
      </c>
      <c r="K74" s="19" t="n">
        <v>-0.9368</v>
      </c>
    </row>
    <row r="75">
      <c r="A75" s="6" t="inlineStr">
        <is>
          <t>2022-11</t>
        </is>
      </c>
      <c r="B75" s="18" t="n">
        <v>0.74</v>
      </c>
      <c r="C75" s="18" t="n">
        <v>0.2856</v>
      </c>
      <c r="D75" s="18">
        <f>B75-C75</f>
        <v/>
      </c>
      <c r="E75" s="18" t="n">
        <v>0.4544</v>
      </c>
      <c r="F75" s="18">
        <f>D75-E75</f>
        <v/>
      </c>
      <c r="G75" s="18" t="n">
        <v>4.6103</v>
      </c>
      <c r="H75" s="18" t="n">
        <v>-2.3298</v>
      </c>
      <c r="I75" s="18" t="n">
        <v>2.1129</v>
      </c>
      <c r="J75" s="18" t="n">
        <v>2.4681</v>
      </c>
      <c r="K75" s="18" t="n">
        <v>1.3507</v>
      </c>
    </row>
    <row r="76">
      <c r="A76" s="9" t="inlineStr">
        <is>
          <t>2022-12</t>
        </is>
      </c>
      <c r="B76" s="19" t="n">
        <v>0.70999999999999</v>
      </c>
      <c r="C76" s="19" t="n">
        <v>0.3379</v>
      </c>
      <c r="D76" s="19">
        <f>B76-C76</f>
        <v/>
      </c>
      <c r="E76" s="19" t="n">
        <v>0.37209999999999</v>
      </c>
      <c r="F76" s="19">
        <f>D76-E76</f>
        <v/>
      </c>
      <c r="G76" s="19" t="n">
        <v>-6.4062</v>
      </c>
      <c r="H76" s="19" t="n">
        <v>0.3374</v>
      </c>
      <c r="I76" s="19" t="n">
        <v>3.9261</v>
      </c>
      <c r="J76" s="19" t="n">
        <v>-0.4648</v>
      </c>
      <c r="K76" s="19" t="n">
        <v>-0.4815</v>
      </c>
    </row>
    <row r="77">
      <c r="A77" s="6" t="inlineStr">
        <is>
          <t>2023-01</t>
        </is>
      </c>
      <c r="B77" s="18" t="n">
        <v>1.31</v>
      </c>
      <c r="C77" s="18" t="n">
        <v>0.3506</v>
      </c>
      <c r="D77" s="18">
        <f>B77-C77</f>
        <v/>
      </c>
      <c r="E77" s="18" t="n">
        <v>0.9594</v>
      </c>
      <c r="F77" s="18">
        <f>D77-E77</f>
        <v/>
      </c>
      <c r="G77" s="18" t="n">
        <v>6.6413</v>
      </c>
      <c r="H77" s="18" t="n">
        <v>4.7212</v>
      </c>
      <c r="I77" s="18" t="n">
        <v>-5.4106</v>
      </c>
      <c r="J77" s="18" t="n">
        <v>-4.2423</v>
      </c>
      <c r="K77" s="18" t="n">
        <v>-2.1437</v>
      </c>
    </row>
    <row r="78">
      <c r="A78" s="9" t="inlineStr">
        <is>
          <t>2023-02</t>
        </is>
      </c>
      <c r="B78" s="19" t="n">
        <v>0.34</v>
      </c>
      <c r="C78" s="19" t="n">
        <v>0.345</v>
      </c>
      <c r="D78" s="19">
        <f>B78-C78</f>
        <v/>
      </c>
      <c r="E78" s="19" t="n">
        <v>-0.005000000000000004</v>
      </c>
      <c r="F78" s="19">
        <f>D78-E78</f>
        <v/>
      </c>
      <c r="G78" s="19" t="n">
        <v>-2.5855</v>
      </c>
      <c r="H78" s="19" t="n">
        <v>-0.1341</v>
      </c>
      <c r="I78" s="19" t="n">
        <v>-1.3265</v>
      </c>
      <c r="J78" s="19" t="n">
        <v>2.9398</v>
      </c>
      <c r="K78" s="19" t="n">
        <v>2.0042</v>
      </c>
    </row>
    <row r="79">
      <c r="A79" s="6" t="inlineStr">
        <is>
          <t>2023-03</t>
        </is>
      </c>
      <c r="B79" s="18" t="n">
        <v>1.73</v>
      </c>
      <c r="C79" s="18" t="n">
        <v>0.3638</v>
      </c>
      <c r="D79" s="18">
        <f>B79-C79</f>
        <v/>
      </c>
      <c r="E79" s="18" t="n">
        <v>1.3662</v>
      </c>
      <c r="F79" s="18">
        <f>D79-E79</f>
        <v/>
      </c>
      <c r="G79" s="18" t="n">
        <v>2.4564</v>
      </c>
      <c r="H79" s="18" t="n">
        <v>-7.7416</v>
      </c>
      <c r="I79" s="18" t="n">
        <v>-3.2627</v>
      </c>
      <c r="J79" s="18" t="n">
        <v>1.1173</v>
      </c>
      <c r="K79" s="18" t="n">
        <v>6.2793</v>
      </c>
    </row>
    <row r="80">
      <c r="A80" s="9" t="inlineStr">
        <is>
          <t>2023-04</t>
        </is>
      </c>
      <c r="B80" s="19" t="n">
        <v>0.6999999999999901</v>
      </c>
      <c r="C80" s="19" t="n">
        <v>0.364</v>
      </c>
      <c r="D80" s="19">
        <f>B80-C80</f>
        <v/>
      </c>
      <c r="E80" s="19" t="n">
        <v>0.3359999999999901</v>
      </c>
      <c r="F80" s="19">
        <f>D80-E80</f>
        <v/>
      </c>
      <c r="G80" s="19" t="n">
        <v>0.5939</v>
      </c>
      <c r="H80" s="19" t="n">
        <v>-1.9389</v>
      </c>
      <c r="I80" s="19" t="n">
        <v>3.1023</v>
      </c>
      <c r="J80" s="19" t="n">
        <v>-1.0657</v>
      </c>
      <c r="K80" s="19" t="n">
        <v>-0.7091</v>
      </c>
    </row>
    <row r="81">
      <c r="A81" s="6" t="inlineStr">
        <is>
          <t>2023-05</t>
        </is>
      </c>
      <c r="B81" s="18" t="n">
        <v>2.13</v>
      </c>
      <c r="C81" s="18" t="n">
        <v>0.3662</v>
      </c>
      <c r="D81" s="18">
        <f>B81-C81</f>
        <v/>
      </c>
      <c r="E81" s="18" t="n">
        <v>1.7638</v>
      </c>
      <c r="F81" s="18">
        <f>D81-E81</f>
        <v/>
      </c>
      <c r="G81" s="18" t="n">
        <v>0.3413</v>
      </c>
      <c r="H81" s="18" t="n">
        <v>-1.7843</v>
      </c>
      <c r="I81" s="18" t="n">
        <v>-6.9683</v>
      </c>
      <c r="J81" s="18" t="n">
        <v>-1.2287</v>
      </c>
      <c r="K81" s="18" t="n">
        <v>1.6535</v>
      </c>
    </row>
    <row r="82">
      <c r="A82" s="9" t="inlineStr">
        <is>
          <t>2023-06</t>
        </is>
      </c>
      <c r="B82" s="19" t="n">
        <v>0.62</v>
      </c>
      <c r="C82" s="19" t="n">
        <v>0.4078</v>
      </c>
      <c r="D82" s="19">
        <f>B82-C82</f>
        <v/>
      </c>
      <c r="E82" s="19" t="n">
        <v>0.2122</v>
      </c>
      <c r="F82" s="19">
        <f>D82-E82</f>
        <v/>
      </c>
      <c r="G82" s="19" t="n">
        <v>6.4559</v>
      </c>
      <c r="H82" s="19" t="n">
        <v>2.742</v>
      </c>
      <c r="I82" s="19" t="n">
        <v>-1.5359</v>
      </c>
      <c r="J82" s="19" t="n">
        <v>4.5498</v>
      </c>
      <c r="K82" s="19" t="n">
        <v>0.4194</v>
      </c>
    </row>
    <row r="83">
      <c r="A83" s="6" t="inlineStr">
        <is>
          <t>2023-07</t>
        </is>
      </c>
      <c r="B83" s="18" t="n">
        <v>0.66</v>
      </c>
      <c r="C83" s="18" t="n">
        <v>0.4391</v>
      </c>
      <c r="D83" s="18">
        <f>B83-C83</f>
        <v/>
      </c>
      <c r="E83" s="18" t="n">
        <v>0.2209</v>
      </c>
      <c r="F83" s="18">
        <f>D83-E83</f>
        <v/>
      </c>
      <c r="G83" s="18" t="n">
        <v>3.2234</v>
      </c>
      <c r="H83" s="18" t="n">
        <v>1.6394</v>
      </c>
      <c r="I83" s="18" t="n">
        <v>-0.1962</v>
      </c>
      <c r="J83" s="18" t="n">
        <v>-0.5115</v>
      </c>
      <c r="K83" s="18" t="n">
        <v>-0.7733</v>
      </c>
    </row>
    <row r="84">
      <c r="A84" s="9" t="inlineStr">
        <is>
          <t>2023-08</t>
        </is>
      </c>
      <c r="B84" s="19" t="n">
        <v>0.46</v>
      </c>
      <c r="C84" s="19" t="n">
        <v>0.4537</v>
      </c>
      <c r="D84" s="19">
        <f>B84-C84</f>
        <v/>
      </c>
      <c r="E84" s="19" t="n">
        <v>0.006299999999999972</v>
      </c>
      <c r="F84" s="19">
        <f>D84-E84</f>
        <v/>
      </c>
      <c r="G84" s="19" t="n">
        <v>-2.3874</v>
      </c>
      <c r="H84" s="19" t="n">
        <v>-2.4532</v>
      </c>
      <c r="I84" s="19" t="n">
        <v>-1.234</v>
      </c>
      <c r="J84" s="19" t="n">
        <v>5.0483</v>
      </c>
      <c r="K84" s="19" t="n">
        <v>5.1348</v>
      </c>
    </row>
    <row r="85">
      <c r="A85" s="6" t="inlineStr">
        <is>
          <t>2023-09</t>
        </is>
      </c>
      <c r="B85" s="18" t="n">
        <v>0.9199999999999999</v>
      </c>
      <c r="C85" s="18" t="n">
        <v>0.4267</v>
      </c>
      <c r="D85" s="18">
        <f>B85-C85</f>
        <v/>
      </c>
      <c r="E85" s="18" t="n">
        <v>0.4932999999999999</v>
      </c>
      <c r="F85" s="18">
        <f>D85-E85</f>
        <v/>
      </c>
      <c r="G85" s="18" t="n">
        <v>-5.2386</v>
      </c>
      <c r="H85" s="18" t="n">
        <v>-0.1177</v>
      </c>
      <c r="I85" s="18" t="n">
        <v>-0.4879</v>
      </c>
      <c r="J85" s="18" t="n">
        <v>3.3773</v>
      </c>
      <c r="K85" s="18" t="n">
        <v>2.7151</v>
      </c>
    </row>
    <row r="86">
      <c r="A86" s="9" t="inlineStr">
        <is>
          <t>2023-10</t>
        </is>
      </c>
      <c r="B86" s="19" t="n">
        <v>0.29</v>
      </c>
      <c r="C86" s="19" t="n">
        <v>0.4715</v>
      </c>
      <c r="D86" s="19">
        <f>B86-C86</f>
        <v/>
      </c>
      <c r="E86" s="19" t="n">
        <v>-0.1815</v>
      </c>
      <c r="F86" s="19">
        <f>D86-E86</f>
        <v/>
      </c>
      <c r="G86" s="19" t="n">
        <v>-3.1784</v>
      </c>
      <c r="H86" s="19" t="n">
        <v>-2.6286</v>
      </c>
      <c r="I86" s="19" t="n">
        <v>-0.4588</v>
      </c>
      <c r="J86" s="19" t="n">
        <v>5.6473</v>
      </c>
      <c r="K86" s="19" t="n">
        <v>4.6182</v>
      </c>
    </row>
    <row r="87">
      <c r="A87" s="6" t="inlineStr">
        <is>
          <t>2023-11</t>
        </is>
      </c>
      <c r="B87" s="18" t="n">
        <v>1.96</v>
      </c>
      <c r="C87" s="18" t="n">
        <v>0.4424</v>
      </c>
      <c r="D87" s="18">
        <f>B87-C87</f>
        <v/>
      </c>
      <c r="E87" s="18" t="n">
        <v>1.5176</v>
      </c>
      <c r="F87" s="18">
        <f>D87-E87</f>
        <v/>
      </c>
      <c r="G87" s="18" t="n">
        <v>8.863899999999999</v>
      </c>
      <c r="H87" s="18" t="n">
        <v>-0.7638</v>
      </c>
      <c r="I87" s="18" t="n">
        <v>-2.3272</v>
      </c>
      <c r="J87" s="18" t="n">
        <v>-3.6413</v>
      </c>
      <c r="K87" s="18" t="n">
        <v>-2.6912</v>
      </c>
    </row>
    <row r="88">
      <c r="A88" s="9" t="inlineStr">
        <is>
          <t>2023-12</t>
        </is>
      </c>
      <c r="B88" s="19" t="n">
        <v>0.74</v>
      </c>
      <c r="C88" s="19" t="n">
        <v>0.4266</v>
      </c>
      <c r="D88" s="19">
        <f>B88-C88</f>
        <v/>
      </c>
      <c r="E88" s="19" t="n">
        <v>0.3134</v>
      </c>
      <c r="F88" s="19">
        <f>D88-E88</f>
        <v/>
      </c>
      <c r="G88" s="19" t="n">
        <v>4.8696</v>
      </c>
      <c r="H88" s="19" t="n">
        <v>5.2012</v>
      </c>
      <c r="I88" s="19" t="n">
        <v>0.2133</v>
      </c>
      <c r="J88" s="19" t="n">
        <v>-4.1255</v>
      </c>
      <c r="K88" s="19" t="n">
        <v>-4.0302</v>
      </c>
    </row>
    <row r="89">
      <c r="A89" s="6" t="inlineStr">
        <is>
          <t>2024-01</t>
        </is>
      </c>
      <c r="B89" s="18" t="n">
        <v>3.25</v>
      </c>
      <c r="C89" s="18" t="n">
        <v>0.4729</v>
      </c>
      <c r="D89" s="18">
        <f>B89-C89</f>
        <v/>
      </c>
      <c r="E89" s="18" t="n">
        <v>2.7771</v>
      </c>
      <c r="F89" s="18">
        <f>D89-E89</f>
        <v/>
      </c>
      <c r="G89" s="18" t="n">
        <v>0.7014</v>
      </c>
      <c r="H89" s="18" t="n">
        <v>-4.8245</v>
      </c>
      <c r="I89" s="18" t="n">
        <v>0.4218</v>
      </c>
      <c r="J89" s="18" t="n">
        <v>1.9675</v>
      </c>
      <c r="K89" s="18" t="n">
        <v>3.7863</v>
      </c>
    </row>
    <row r="90">
      <c r="A90" s="9" t="inlineStr">
        <is>
          <t>2024-02</t>
        </is>
      </c>
      <c r="B90" s="19" t="n">
        <v>1.97</v>
      </c>
      <c r="C90" s="19" t="n">
        <v>0.4224</v>
      </c>
      <c r="D90" s="19">
        <f>B90-C90</f>
        <v/>
      </c>
      <c r="E90" s="19" t="n">
        <v>1.5476</v>
      </c>
      <c r="F90" s="19">
        <f>D90-E90</f>
        <v/>
      </c>
      <c r="G90" s="19" t="n">
        <v>5.0654</v>
      </c>
      <c r="H90" s="19" t="n">
        <v>1.2192</v>
      </c>
      <c r="I90" s="19" t="n">
        <v>-1.9735</v>
      </c>
      <c r="J90" s="19" t="n">
        <v>0.089</v>
      </c>
      <c r="K90" s="19" t="n">
        <v>-1.9019</v>
      </c>
    </row>
    <row r="91">
      <c r="A91" s="6" t="inlineStr">
        <is>
          <t>2024-03</t>
        </is>
      </c>
      <c r="B91" s="18" t="n">
        <v>1.34</v>
      </c>
      <c r="C91" s="18" t="n">
        <v>0.4157</v>
      </c>
      <c r="D91" s="18">
        <f>B91-C91</f>
        <v/>
      </c>
      <c r="E91" s="18" t="n">
        <v>0.9243000000000001</v>
      </c>
      <c r="F91" s="18">
        <f>D91-E91</f>
        <v/>
      </c>
      <c r="G91" s="18" t="n">
        <v>2.8403</v>
      </c>
      <c r="H91" s="18" t="n">
        <v>-0.7905</v>
      </c>
      <c r="I91" s="18" t="n">
        <v>0.4476</v>
      </c>
      <c r="J91" s="18" t="n">
        <v>1.1306</v>
      </c>
      <c r="K91" s="18" t="n">
        <v>-2.0875</v>
      </c>
    </row>
    <row r="92">
      <c r="A92" s="9" t="inlineStr">
        <is>
          <t>2024-04</t>
        </is>
      </c>
      <c r="B92" s="19" t="n">
        <v>1.87</v>
      </c>
      <c r="C92" s="19" t="n">
        <v>0.4864</v>
      </c>
      <c r="D92" s="19">
        <f>B92-C92</f>
        <v/>
      </c>
      <c r="E92" s="19" t="n">
        <v>1.3836</v>
      </c>
      <c r="F92" s="19">
        <f>D92-E92</f>
        <v/>
      </c>
      <c r="G92" s="19" t="n">
        <v>-4.687</v>
      </c>
      <c r="H92" s="19" t="n">
        <v>-2.9976</v>
      </c>
      <c r="I92" s="19" t="n">
        <v>-0.9161</v>
      </c>
      <c r="J92" s="19" t="n">
        <v>1.7953</v>
      </c>
      <c r="K92" s="19" t="n">
        <v>1.3054</v>
      </c>
    </row>
    <row r="93">
      <c r="A93" s="6" t="inlineStr">
        <is>
          <t>2024-05</t>
        </is>
      </c>
      <c r="B93" s="18" t="n">
        <v>-2.2</v>
      </c>
      <c r="C93" s="18" t="n">
        <v>0.4415</v>
      </c>
      <c r="D93" s="18">
        <f>B93-C93</f>
        <v/>
      </c>
      <c r="E93" s="18" t="n">
        <v>-2.6415</v>
      </c>
      <c r="F93" s="18">
        <f>D93-E93</f>
        <v/>
      </c>
      <c r="G93" s="18" t="n">
        <v>4.3262</v>
      </c>
      <c r="H93" s="18" t="n">
        <v>2.9438</v>
      </c>
      <c r="I93" s="18" t="n">
        <v>-1.0645</v>
      </c>
      <c r="J93" s="18" t="n">
        <v>4.506</v>
      </c>
      <c r="K93" s="18" t="n">
        <v>2.4258</v>
      </c>
    </row>
    <row r="94">
      <c r="A94" s="9" t="inlineStr">
        <is>
          <t>2024-06</t>
        </is>
      </c>
      <c r="B94" s="19" t="n">
        <v>1.65</v>
      </c>
      <c r="C94" s="19" t="n">
        <v>0.4125</v>
      </c>
      <c r="D94" s="19">
        <f>B94-C94</f>
        <v/>
      </c>
      <c r="E94" s="19" t="n">
        <v>1.2375</v>
      </c>
      <c r="F94" s="19">
        <f>D94-E94</f>
        <v/>
      </c>
      <c r="G94" s="19" t="n">
        <v>2.7699</v>
      </c>
      <c r="H94" s="19" t="n">
        <v>-4.8267</v>
      </c>
      <c r="I94" s="19" t="n">
        <v>-0.5782</v>
      </c>
      <c r="J94" s="19" t="n">
        <v>2.3517</v>
      </c>
      <c r="K94" s="19" t="n">
        <v>4.9059</v>
      </c>
    </row>
    <row r="95">
      <c r="A95" s="6" t="inlineStr">
        <is>
          <t>2024-07</t>
        </is>
      </c>
      <c r="B95" s="18" t="n">
        <v>0.67</v>
      </c>
      <c r="C95" s="18" t="n">
        <v>0.4711</v>
      </c>
      <c r="D95" s="18">
        <f>B95-C95</f>
        <v/>
      </c>
      <c r="E95" s="18" t="n">
        <v>0.1989</v>
      </c>
      <c r="F95" s="18">
        <f>D95-E95</f>
        <v/>
      </c>
      <c r="G95" s="18" t="n">
        <v>1.2169</v>
      </c>
      <c r="H95" s="18" t="n">
        <v>7.5712</v>
      </c>
      <c r="I95" s="18" t="n">
        <v>1.2441</v>
      </c>
      <c r="J95" s="18" t="n">
        <v>-0.1571</v>
      </c>
      <c r="K95" s="18" t="n">
        <v>-3.1322</v>
      </c>
    </row>
    <row r="96">
      <c r="A96" s="9" t="inlineStr">
        <is>
          <t>2024-08</t>
        </is>
      </c>
      <c r="B96" s="19" t="n">
        <v>0.64</v>
      </c>
      <c r="C96" s="19" t="n">
        <v>0.4419</v>
      </c>
      <c r="D96" s="19">
        <f>B96-C96</f>
        <v/>
      </c>
      <c r="E96" s="19" t="n">
        <v>0.1981</v>
      </c>
      <c r="F96" s="19">
        <f>D96-E96</f>
        <v/>
      </c>
      <c r="G96" s="19" t="n">
        <v>1.6518</v>
      </c>
      <c r="H96" s="19" t="n">
        <v>-4.0817</v>
      </c>
      <c r="I96" s="19" t="n">
        <v>0.4687</v>
      </c>
      <c r="J96" s="19" t="n">
        <v>1.8369</v>
      </c>
      <c r="K96" s="19" t="n">
        <v>0.8116</v>
      </c>
    </row>
    <row r="97">
      <c r="A97" s="6" t="inlineStr">
        <is>
          <t>2024-09</t>
        </is>
      </c>
      <c r="B97" s="18" t="n">
        <v>2.69</v>
      </c>
      <c r="C97" s="18" t="n">
        <v>0.4619</v>
      </c>
      <c r="D97" s="18">
        <f>B97-C97</f>
        <v/>
      </c>
      <c r="E97" s="18" t="n">
        <v>2.2281</v>
      </c>
      <c r="F97" s="18">
        <f>D97-E97</f>
        <v/>
      </c>
      <c r="G97" s="18" t="n">
        <v>1.6806</v>
      </c>
      <c r="H97" s="18" t="n">
        <v>-1.1967</v>
      </c>
      <c r="I97" s="18" t="n">
        <v>-0.001</v>
      </c>
      <c r="J97" s="18" t="n">
        <v>0.7408</v>
      </c>
      <c r="K97" s="18" t="n">
        <v>-3.281</v>
      </c>
    </row>
    <row r="98">
      <c r="A98" s="9" t="inlineStr">
        <is>
          <t>2024-10</t>
        </is>
      </c>
      <c r="B98" s="19" t="n">
        <v>7.62</v>
      </c>
      <c r="C98" s="19" t="n">
        <v>0.3907</v>
      </c>
      <c r="D98" s="19">
        <f>B98-C98</f>
        <v/>
      </c>
      <c r="E98" s="19" t="n">
        <v>7.2293</v>
      </c>
      <c r="F98" s="19">
        <f>D98-E98</f>
        <v/>
      </c>
      <c r="G98" s="19" t="n">
        <v>-0.9701</v>
      </c>
      <c r="H98" s="19" t="n">
        <v>-1.1261</v>
      </c>
      <c r="I98" s="19" t="n">
        <v>-1.1676</v>
      </c>
      <c r="J98" s="19" t="n">
        <v>-0.2314</v>
      </c>
      <c r="K98" s="19" t="n">
        <v>-0.8335</v>
      </c>
    </row>
    <row r="99">
      <c r="A99" s="6" t="inlineStr">
        <is>
          <t>2024-11</t>
        </is>
      </c>
      <c r="B99" s="18" t="n">
        <v>4.24</v>
      </c>
      <c r="C99" s="18" t="n">
        <v>0.3955</v>
      </c>
      <c r="D99" s="18">
        <f>B99-C99</f>
        <v/>
      </c>
      <c r="E99" s="18" t="n">
        <v>3.8445</v>
      </c>
      <c r="F99" s="18">
        <f>D99-E99</f>
        <v/>
      </c>
      <c r="G99" s="18" t="n">
        <v>6.5002</v>
      </c>
      <c r="H99" s="18" t="n">
        <v>4.3985</v>
      </c>
      <c r="I99" s="18" t="n">
        <v>-4.9491</v>
      </c>
      <c r="J99" s="18" t="n">
        <v>-1.537</v>
      </c>
      <c r="K99" s="18" t="n">
        <v>-2.142</v>
      </c>
    </row>
    <row r="100">
      <c r="A100" s="9" t="inlineStr">
        <is>
          <t>2024-12</t>
        </is>
      </c>
      <c r="B100" s="19" t="n">
        <v>1.02</v>
      </c>
      <c r="C100" s="19" t="n">
        <v>0.3663</v>
      </c>
      <c r="D100" s="19">
        <f>B100-C100</f>
        <v/>
      </c>
      <c r="E100" s="19" t="n">
        <v>0.6536999999999999</v>
      </c>
      <c r="F100" s="19">
        <f>D100-E100</f>
        <v/>
      </c>
      <c r="G100" s="19" t="n">
        <v>-3.1637</v>
      </c>
      <c r="H100" s="19" t="n">
        <v>-5.1564</v>
      </c>
      <c r="I100" s="19" t="n">
        <v>-0.3684</v>
      </c>
      <c r="J100" s="19" t="n">
        <v>-2.1442</v>
      </c>
      <c r="K100" s="19" t="n">
        <v>4.9624</v>
      </c>
    </row>
  </sheetData>
  <autoFilter ref="A4:K100"/>
  <mergeCells count="2">
    <mergeCell ref="A1:J1"/>
    <mergeCell ref="A2:J2"/>
  </mergeCells>
  <pageMargins left="0.35" right="0.35" top="0.5" bottom="0.5" header="0.5" footer="0.5"/>
  <pageSetup fitToHeight="0" fitToWidth="1"/>
  <headerFooter>
    <oddHeader/>
    <oddFooter>&amp;CPrepared by Harman Singh for Professor Phelim Boyle&amp;RPage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15" customWidth="1" min="4" max="4"/>
    <col width="12" customWidth="1" min="5" max="5"/>
    <col width="48" customWidth="1" min="6" max="6"/>
  </cols>
  <sheetData>
    <row r="1" ht="27" customHeight="1">
      <c r="A1" s="1" t="inlineStr">
        <is>
          <t>Quality Assurance Checks</t>
        </is>
      </c>
    </row>
    <row r="2" ht="30" customHeight="1">
      <c r="A2" s="2" t="inlineStr">
        <is>
          <t>One assertion per row; all checks must pass before delivery</t>
        </is>
      </c>
    </row>
    <row r="4" ht="30" customHeight="1">
      <c r="A4" s="5" t="inlineStr">
        <is>
          <t>Check</t>
        </is>
      </c>
      <c r="B4" s="5" t="inlineStr">
        <is>
          <t>Actual</t>
        </is>
      </c>
      <c r="C4" s="5" t="inlineStr">
        <is>
          <t>Expected</t>
        </is>
      </c>
      <c r="D4" s="5" t="inlineStr">
        <is>
          <t>Tolerance</t>
        </is>
      </c>
      <c r="E4" s="5" t="inlineStr">
        <is>
          <t>Status</t>
        </is>
      </c>
      <c r="F4" s="5" t="inlineStr">
        <is>
          <t>Notes</t>
        </is>
      </c>
    </row>
    <row r="5">
      <c r="A5" s="6" t="inlineStr">
        <is>
          <t>Observation count</t>
        </is>
      </c>
      <c r="B5" s="13" t="n">
        <v>96</v>
      </c>
      <c r="C5" s="13" t="n">
        <v>96</v>
      </c>
      <c r="D5" s="13" t="n">
        <v>0</v>
      </c>
      <c r="E5" s="20" t="inlineStr">
        <is>
          <t>PASS</t>
        </is>
      </c>
      <c r="F5" s="13" t="inlineStr">
        <is>
          <t>Eight complete calendar years</t>
        </is>
      </c>
    </row>
    <row r="6">
      <c r="A6" s="9" t="inlineStr">
        <is>
          <t>Unique month count</t>
        </is>
      </c>
      <c r="B6" s="14" t="n">
        <v>96</v>
      </c>
      <c r="C6" s="14" t="n">
        <v>96</v>
      </c>
      <c r="D6" s="14" t="n">
        <v>0</v>
      </c>
      <c r="E6" s="14" t="inlineStr">
        <is>
          <t>PASS</t>
        </is>
      </c>
      <c r="F6" s="14" t="inlineStr">
        <is>
          <t>No duplicate months</t>
        </is>
      </c>
    </row>
    <row r="7">
      <c r="A7" s="6" t="inlineStr">
        <is>
          <t>First month</t>
        </is>
      </c>
      <c r="B7" s="13" t="inlineStr">
        <is>
          <t>2017-01</t>
        </is>
      </c>
      <c r="C7" s="13" t="inlineStr">
        <is>
          <t>2017-01</t>
        </is>
      </c>
      <c r="D7" s="13" t="inlineStr"/>
      <c r="E7" s="20" t="inlineStr">
        <is>
          <t>PASS</t>
        </is>
      </c>
      <c r="F7" s="13" t="inlineStr"/>
    </row>
    <row r="8">
      <c r="A8" s="9" t="inlineStr">
        <is>
          <t>Last month</t>
        </is>
      </c>
      <c r="B8" s="14" t="inlineStr">
        <is>
          <t>2024-12</t>
        </is>
      </c>
      <c r="C8" s="14" t="inlineStr">
        <is>
          <t>2024-12</t>
        </is>
      </c>
      <c r="D8" s="14" t="inlineStr"/>
      <c r="E8" s="14" t="inlineStr">
        <is>
          <t>PASS</t>
        </is>
      </c>
      <c r="F8" s="14" t="inlineStr"/>
    </row>
    <row r="9">
      <c r="A9" s="6" t="inlineStr">
        <is>
          <t>Missing numeric values</t>
        </is>
      </c>
      <c r="B9" s="13" t="n">
        <v>0</v>
      </c>
      <c r="C9" s="13" t="n">
        <v>0</v>
      </c>
      <c r="D9" s="13" t="n">
        <v>0</v>
      </c>
      <c r="E9" s="20" t="inlineStr">
        <is>
          <t>PASS</t>
        </is>
      </c>
      <c r="F9" s="13" t="inlineStr"/>
    </row>
    <row r="10">
      <c r="A10" s="9" t="inlineStr">
        <is>
          <t>Maximum excess-return identity difference</t>
        </is>
      </c>
      <c r="B10" s="14" t="n">
        <v>0</v>
      </c>
      <c r="C10" s="14" t="n">
        <v>0</v>
      </c>
      <c r="D10" s="14" t="n">
        <v>1e-12</v>
      </c>
      <c r="E10" s="14" t="inlineStr">
        <is>
          <t>PASS</t>
        </is>
      </c>
      <c r="F10" s="14" t="inlineStr">
        <is>
          <t>Fund X excess return equals raw return minus R_F</t>
        </is>
      </c>
    </row>
    <row r="11">
      <c r="A11" s="6" t="inlineStr">
        <is>
          <t>Manual vs statsmodels coefficient difference</t>
        </is>
      </c>
      <c r="B11" s="13" t="n">
        <v>1.332267629550188e-15</v>
      </c>
      <c r="C11" s="13" t="n">
        <v>0</v>
      </c>
      <c r="D11" s="13" t="n">
        <v>1e-10</v>
      </c>
      <c r="E11" s="20" t="inlineStr">
        <is>
          <t>PASS</t>
        </is>
      </c>
      <c r="F11" s="13" t="inlineStr">
        <is>
          <t>Independent OLS coefficient implementation</t>
        </is>
      </c>
    </row>
    <row r="12">
      <c r="A12" s="9" t="inlineStr">
        <is>
          <t>Manual vs statsmodels NW SE difference</t>
        </is>
      </c>
      <c r="B12" s="14" t="n">
        <v>3.885780586188048e-16</v>
      </c>
      <c r="C12" s="14" t="n">
        <v>0</v>
      </c>
      <c r="D12" s="14" t="n">
        <v>1e-10</v>
      </c>
      <c r="E12" s="14" t="inlineStr">
        <is>
          <t>PASS</t>
        </is>
      </c>
      <c r="F12" s="14" t="inlineStr">
        <is>
          <t>Independent HAC covariance implementation</t>
        </is>
      </c>
    </row>
    <row r="13">
      <c r="A13" s="6" t="inlineStr">
        <is>
          <t>Primary Newey-West lag count</t>
        </is>
      </c>
      <c r="B13" s="13" t="n">
        <v>4</v>
      </c>
      <c r="C13" s="13" t="n">
        <v>4</v>
      </c>
      <c r="D13" s="13" t="n">
        <v>0</v>
      </c>
      <c r="E13" s="20" t="inlineStr">
        <is>
          <t>PASS</t>
        </is>
      </c>
      <c r="F13" s="13" t="inlineStr">
        <is>
          <t>Assignment-mandated value</t>
        </is>
      </c>
    </row>
    <row r="14">
      <c r="A14" s="9" t="inlineStr">
        <is>
          <t>All model observation counts</t>
        </is>
      </c>
      <c r="B14" s="14" t="n">
        <v>1</v>
      </c>
      <c r="C14" s="14" t="n">
        <v>1</v>
      </c>
      <c r="D14" s="14" t="n">
        <v>0</v>
      </c>
      <c r="E14" s="14" t="inlineStr">
        <is>
          <t>PASS</t>
        </is>
      </c>
      <c r="F14" s="14" t="inlineStr">
        <is>
          <t>Every model uses the same 96 months</t>
        </is>
      </c>
    </row>
    <row r="17">
      <c r="A17" s="3" t="inlineStr">
        <is>
          <t>Overall status</t>
        </is>
      </c>
      <c r="B17" s="21" t="inlineStr">
        <is>
          <t>PASS</t>
        </is>
      </c>
    </row>
  </sheetData>
  <mergeCells count="2">
    <mergeCell ref="A2:F2"/>
    <mergeCell ref="A1:F1"/>
  </mergeCells>
  <pageMargins left="0.35" right="0.35" top="0.5" bottom="0.5" header="0.5" footer="0.5"/>
  <pageSetup fitToHeight="0" fitToWidth="1"/>
  <headerFooter>
    <oddHeader/>
    <oddFooter>&amp;CPrepared by Harman Singh for Professor Phelim Boyle&amp;RPage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  <col width="30" customWidth="1" min="4" max="4"/>
    <col width="52" customWidth="1" min="5" max="5"/>
  </cols>
  <sheetData>
    <row r="1" ht="27" customHeight="1">
      <c r="A1" s="1" t="inlineStr">
        <is>
          <t>Sources and Method</t>
        </is>
      </c>
    </row>
    <row r="2" ht="30" customHeight="1">
      <c r="A2" s="2" t="inlineStr">
        <is>
          <t>Data provenance and calculation conventions used for the Assignment 4 outputs</t>
        </is>
      </c>
    </row>
    <row r="4" ht="30" customHeight="1">
      <c r="A4" s="5" t="inlineStr">
        <is>
          <t>Item</t>
        </is>
      </c>
      <c r="B4" s="5" t="inlineStr">
        <is>
          <t>Source</t>
        </is>
      </c>
      <c r="C4" s="5" t="inlineStr">
        <is>
          <t>Location</t>
        </is>
      </c>
      <c r="D4" s="5" t="inlineStr">
        <is>
          <t>Units / Convention</t>
        </is>
      </c>
      <c r="E4" s="5" t="inlineStr">
        <is>
          <t>Notes</t>
        </is>
      </c>
    </row>
    <row r="5">
      <c r="A5" s="6" t="inlineStr">
        <is>
          <t>Fund X monthly returns</t>
        </is>
      </c>
      <c r="B5" s="13" t="inlineStr">
        <is>
          <t>Net-of-fees project return series</t>
        </is>
      </c>
      <c r="C5" s="13" t="inlineStr">
        <is>
          <t>data/lsq_returns.csv</t>
        </is>
      </c>
      <c r="D5" s="13" t="inlineStr">
        <is>
          <t>Percent per month</t>
        </is>
      </c>
      <c r="E5" s="13" t="inlineStr">
        <is>
          <t>Filtered to 2017-01 through 2024-12</t>
        </is>
      </c>
    </row>
    <row r="6">
      <c r="A6" s="9" t="inlineStr">
        <is>
          <t>q5 monthly factors</t>
        </is>
      </c>
      <c r="B6" s="14" t="inlineStr">
        <is>
          <t>Official global-q.org repository</t>
        </is>
      </c>
      <c r="C6" s="14" t="inlineStr">
        <is>
          <t>https://global-q.org/uploads/1/2/2/6/122679606/q5_factors_monthly_2024.csv</t>
        </is>
      </c>
      <c r="D6" s="14" t="inlineStr">
        <is>
          <t>Percent per month</t>
        </is>
      </c>
      <c r="E6" s="14" t="inlineStr">
        <is>
          <t>SHA-256: d2ec0d2e22bc0e94d3e10f4daa6c748303914046fd3ff97b8eaeee825d9639d1</t>
        </is>
      </c>
    </row>
    <row r="7">
      <c r="A7" s="6" t="inlineStr">
        <is>
          <t>Dependent variable</t>
        </is>
      </c>
      <c r="B7" s="13" t="inlineStr">
        <is>
          <t>Calculated</t>
        </is>
      </c>
      <c r="C7" s="13" t="inlineStr">
        <is>
          <t>Fund X raw return minus R_F</t>
        </is>
      </c>
      <c r="D7" s="13" t="inlineStr">
        <is>
          <t>Percent per month</t>
        </is>
      </c>
      <c r="E7" s="13" t="inlineStr">
        <is>
          <t>R_F is taken directly from the q5 file</t>
        </is>
      </c>
    </row>
    <row r="8">
      <c r="A8" s="9" t="inlineStr">
        <is>
          <t>Primary covariance</t>
        </is>
      </c>
      <c r="B8" s="14" t="inlineStr">
        <is>
          <t>Newey-West HAC</t>
        </is>
      </c>
      <c r="C8" s="14" t="inlineStr">
        <is>
          <t>Manual implementation cross-checked to statsmodels</t>
        </is>
      </c>
      <c r="D8" s="14" t="inlineStr">
        <is>
          <t>Bartlett kernel, L = 4</t>
        </is>
      </c>
      <c r="E8" s="14" t="inlineStr">
        <is>
          <t>No finite-sample multiplier in the primary table, matching the supplied code</t>
        </is>
      </c>
    </row>
    <row r="9">
      <c r="A9" s="6" t="inlineStr">
        <is>
          <t>Annual alpha</t>
        </is>
      </c>
      <c r="B9" s="13" t="inlineStr">
        <is>
          <t>Calculated</t>
        </is>
      </c>
      <c r="C9" s="13" t="inlineStr">
        <is>
          <t>(1 + monthly alpha / 100)^12 - 1</t>
        </is>
      </c>
      <c r="D9" s="13" t="inlineStr">
        <is>
          <t>Compounded percent per year</t>
        </is>
      </c>
      <c r="E9" s="13" t="inlineStr">
        <is>
          <t>Not simple multiplication by 12</t>
        </is>
      </c>
    </row>
    <row r="10">
      <c r="A10" s="9" t="inlineStr">
        <is>
          <t>Robustness</t>
        </is>
      </c>
      <c r="B10" s="14" t="inlineStr">
        <is>
          <t>Calculated</t>
        </is>
      </c>
      <c r="C10" s="14" t="inlineStr">
        <is>
          <t>HAC lags 3, 4, 6, 12; block-pairs bootstrap; influence and stability checks</t>
        </is>
      </c>
      <c r="D10" s="14" t="inlineStr">
        <is>
          <t>Sensitivity analysis</t>
        </is>
      </c>
      <c r="E10" s="14" t="inlineStr">
        <is>
          <t>Primary assignment result remains L = 4</t>
        </is>
      </c>
    </row>
  </sheetData>
  <mergeCells count="2">
    <mergeCell ref="A2:E2"/>
    <mergeCell ref="A1:E1"/>
  </mergeCells>
  <hyperlinks>
    <hyperlink xmlns:r="http://schemas.openxmlformats.org/officeDocument/2006/relationships" ref="C6" r:id="rId1"/>
  </hyperlinks>
  <pageMargins left="0.35" right="0.35" top="0.5" bottom="0.5" header="0.5" footer="0.5"/>
  <pageSetup fitToHeight="0" fitToWidth="1"/>
  <headerFooter>
    <oddHeader/>
    <oddFooter>&amp;CPrepared by Harman Singh for Professor Phelim Boyle&amp;RPage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Harman Singh</dc:creator>
  <dc:title xmlns:dc="http://purl.org/dc/elements/1.1/">Assignment 4: Fund X q-Factor Analysis</dc:title>
  <dc:subject xmlns:dc="http://purl.org/dc/elements/1.1/">CAPM, q-factor, and q5 regressions</dc:subject>
  <dcterms:created xmlns:dcterms="http://purl.org/dc/terms/" xmlns:xsi="http://www.w3.org/2001/XMLSchema-instance" xsi:type="dcterms:W3CDTF">2026-07-25T04:13:14Z</dcterms:created>
  <dcterms:modified xmlns:dcterms="http://purl.org/dc/terms/" xmlns:xsi="http://www.w3.org/2001/XMLSchema-instance" xsi:type="dcterms:W3CDTF">2026-07-25T04:13:14Z</dcterms:modified>
  <cp:lastModifiedBy>Harman Singh</cp:lastModifiedBy>
</cp:coreProperties>
</file>